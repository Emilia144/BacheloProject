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Tabellenblatt1" sheetId="2" r:id="rId5"/>
    <sheet state="visible" name="Tabellenblatt2" sheetId="3" r:id="rId6"/>
  </sheets>
  <definedNames/>
  <calcPr/>
  <extLst>
    <ext uri="GoogleSheetsCustomDataVersion2">
      <go:sheetsCustomData xmlns:go="http://customooxmlschemas.google.com/" r:id="rId7" roundtripDataChecksum="4y62gVT7FRbE7xMYfDSEaFlwJa4qBTWkWi9KSiL9u2s="/>
    </ext>
  </extLst>
</workbook>
</file>

<file path=xl/sharedStrings.xml><?xml version="1.0" encoding="utf-8"?>
<sst xmlns="http://schemas.openxmlformats.org/spreadsheetml/2006/main" count="2927" uniqueCount="312">
  <si>
    <t xml:space="preserve"> n</t>
  </si>
  <si>
    <t>Startzeit</t>
  </si>
  <si>
    <t>Fertigstellungszeit</t>
  </si>
  <si>
    <t>E-Mail</t>
  </si>
  <si>
    <t>Language</t>
  </si>
  <si>
    <t>In welchem Bereich arbeitest du hauptsächlich?</t>
  </si>
  <si>
    <t>Wie groß ist dein Unternehmen?</t>
  </si>
  <si>
    <t>Hast du schon einmal KI-basierte Tools im Rahmen deiner beruflichen Tätigkeit benutzt?</t>
  </si>
  <si>
    <t>Für welche Aufgaben setzt du GenAI-Tools hauptsächlich ein?</t>
  </si>
  <si>
    <t>ChatGPT</t>
  </si>
  <si>
    <t>Claude</t>
  </si>
  <si>
    <t>Gemini</t>
  </si>
  <si>
    <t>Perplexity</t>
  </si>
  <si>
    <t>Github Copilot</t>
  </si>
  <si>
    <t>JetBrains AI Assistant</t>
  </si>
  <si>
    <t>Cursor</t>
  </si>
  <si>
    <t>Microsoft Copilot</t>
  </si>
  <si>
    <t>Bilderzeugung (z.B. Dall-E, Midjourney, Stable Diffusion, Flux1)</t>
  </si>
  <si>
    <t>Wie sind die von dir genutzten GenAI-Tools aktuell lizensiert?</t>
  </si>
  <si>
    <t>Welche GenAI-Infrastruktur nutzt du?</t>
  </si>
  <si>
    <t>Bist du dir der Compliance- und Datenschutz/Datensicherheitsregeln bezüglich der Nutzung von GenAI-Tools bewusst?</t>
  </si>
  <si>
    <t>Wie schätzt du aktuell deine Kompetenz im Umgang mit GenAI ein?</t>
  </si>
  <si>
    <t>Wie schätzt du den Einfluss der KI-Tools auf deine Produktivität ein?</t>
  </si>
  <si>
    <t>Welche Herausforderungen oder Hindernisse siehst du bei der Nutzung von GenAI-Tools?</t>
  </si>
  <si>
    <t>Planst du in den nächsten 12 Monaten eines der folgenden Themen anzugehen?</t>
  </si>
  <si>
    <t>anonymous</t>
  </si>
  <si>
    <t>English (United States)‎</t>
  </si>
  <si>
    <t>rechtliche Beratung</t>
  </si>
  <si>
    <t>Konzern (über 5000 Mitarbeiter)</t>
  </si>
  <si>
    <t>Ja</t>
  </si>
  <si>
    <t>Recherche und Wissensvermittlung;</t>
  </si>
  <si>
    <t>Wöchentlich</t>
  </si>
  <si>
    <t>unbekannt</t>
  </si>
  <si>
    <t>Nie</t>
  </si>
  <si>
    <t>Privater Account (bezahlt);</t>
  </si>
  <si>
    <t>Cloud-basierte Dienste (z.B. ChatGPT, Claude, o.ä.);</t>
  </si>
  <si>
    <t>Unternehmensrichtlinien sind mir bekannt;Ich kenne die gesetzlichen Rahmenbedingungen (z.B. DSGVO, EU-AI-Act);</t>
  </si>
  <si>
    <t>Ich weiß, was ein Prompt ist</t>
  </si>
  <si>
    <t>Leichte Verbesserung</t>
  </si>
  <si>
    <t>Schwierigkeiten bei der Verwendung;Datensicherheit;Kosten;Akzeptanz im Team/Unternehmen;Technische Integration;</t>
  </si>
  <si>
    <t>KI-Schulungen für dich oder dein Team;Software-Lizenzen für KI-Tools erwerben;</t>
  </si>
  <si>
    <t>Deutsch</t>
  </si>
  <si>
    <t>Management (Projekt, Produkt, Führung)</t>
  </si>
  <si>
    <t>Recherche und Wissensvermittlung;Texterstellung (Dokumentation, Berichte);</t>
  </si>
  <si>
    <t>Firmenlizenz;</t>
  </si>
  <si>
    <t>Unternehmensrichtlinien sind mir bekannt;</t>
  </si>
  <si>
    <t>Ohne CoT Prompts fange ich gar nicht an</t>
  </si>
  <si>
    <t>Schwierigkeiten bei der Verwendung;</t>
  </si>
  <si>
    <t>KI-Schulungen für dich oder dein Team;</t>
  </si>
  <si>
    <t>IT-Consulting</t>
  </si>
  <si>
    <t>Recherche und Wissensvermittlung;Texterstellung (Dokumentation, Berichte);Präsentationserstellung;Bildgenerierung;</t>
  </si>
  <si>
    <t>Täglich</t>
  </si>
  <si>
    <t>Mal probiert</t>
  </si>
  <si>
    <t>Datensicherheit;Technische Integration;</t>
  </si>
  <si>
    <t>Keine Aktivität bezüglich KI geplant;</t>
  </si>
  <si>
    <t>Texterstellung (Dokumentation, Berichte);Präsentationserstellung;Bildgenerierung;Recherche und Wissensvermittlung;</t>
  </si>
  <si>
    <t>Firmenlizenz;Privater Account (bezahlt);Privater Account (kostenlose Nutzung);</t>
  </si>
  <si>
    <t>Ich verwende meine eigenen finegetunten Modelle auf meiner Hardware</t>
  </si>
  <si>
    <t>Datensicherheit;Kosten;</t>
  </si>
  <si>
    <t>Entwicklung eigener KI-Lösungen;Software-Lizenzen für KI-Tools erwerben;</t>
  </si>
  <si>
    <t>Recherche und Wissensvermittlung;Texterstellung (Dokumentation, Berichte);Bildgenerierung;</t>
  </si>
  <si>
    <t>Schwierigkeiten bei der Verwendung;Kosten;Technische Integration;</t>
  </si>
  <si>
    <t>Cloud-basierte Dienste (z.B. ChatGPT, Claude, o.ä.);Officehardware (Desktop-PCs, Laptops, Smartphone);</t>
  </si>
  <si>
    <t>Deutliche Verbesserung</t>
  </si>
  <si>
    <t>Kosten;Akzeptanz im Team/Unternehmen;</t>
  </si>
  <si>
    <t>Entwicklung eigener KI-Lösungen;</t>
  </si>
  <si>
    <t>Recherche und Wissensvermittlung;Texterstellung (Dokumentation, Berichte);Präsentationserstellung;</t>
  </si>
  <si>
    <t>Technische Integration;</t>
  </si>
  <si>
    <t>Recherche und Wissensvermittlung;Texterstellung (Dokumentation, Berichte);Bildgenerierung;Softwareentwicklung (Code Generierung);Softwareentwicklung (Code Review);</t>
  </si>
  <si>
    <t>Firmenlizenz;Privater Account (kostenlose Nutzung);</t>
  </si>
  <si>
    <t>Cloud-basierte Dienste (z.B. ChatGPT, Claude, o.ä.);Eigene private Hardware;Officehardware (Desktop-PCs, Laptops, Smartphone);</t>
  </si>
  <si>
    <t>Schwierigkeiten bei der Verwendung;Akzeptanz im Team/Unternehmen;Technische Integration;</t>
  </si>
  <si>
    <t>Recherche und Wissensvermittlung;Texterstellung (Dokumentation, Berichte);Präsentationserstellung;Bildgenerierung;Softwareentwicklung (Code Generierung);Testfallerstellung;</t>
  </si>
  <si>
    <t>Schwierigkeiten bei der Verwendung;Kein sinnvoller Einsatzzweck;</t>
  </si>
  <si>
    <t>KI-Schulungen für dich oder dein Team;Entwicklung eigener KI-Lösungen;</t>
  </si>
  <si>
    <t>Technische Integration;Datensicherheit;</t>
  </si>
  <si>
    <t>Akzeptanz im Team/Unternehmen;</t>
  </si>
  <si>
    <t>Support &amp; Service</t>
  </si>
  <si>
    <t>Kein sinnvoller Einsatzzweck;</t>
  </si>
  <si>
    <t>Texterstellung (Dokumentation, Berichte);</t>
  </si>
  <si>
    <t>Texterstellung (Dokumentation, Berichte);Recherche und Wissensvermittlung;Präsentationserstellung;Bildgenerierung;</t>
  </si>
  <si>
    <t>Datensicherheit;</t>
  </si>
  <si>
    <t>Kein sinnvoller Einsatzzweck;Schwierigkeiten bei der Verwendung;</t>
  </si>
  <si>
    <t>Recherche und Wissensvermittlung;Texterstellung (Dokumentation, Berichte);Bildgenerierung;Präsentationserstellung;</t>
  </si>
  <si>
    <t>Texterstellung (Dokumentation, Berichte);Präsentationserstellung;Recherche und Wissensvermittlung;</t>
  </si>
  <si>
    <t>HR</t>
  </si>
  <si>
    <t>Recherche und Wissensvermittlung;Texterstellung (Dokumentation, Berichte);Präsentationserstellung;Bildgenerierung;Testfallerstellung;Bugfixing;</t>
  </si>
  <si>
    <t>Recherche und Wissensvermittlung;Texterstellung (Dokumentation, Berichte);Präsentationserstellung;Bildgenerierung;Testfallerstellung;</t>
  </si>
  <si>
    <t>Akzeptanz im Team/Unternehmen;Sinkende Produktivität;</t>
  </si>
  <si>
    <t>Sinkende Produktivität;Technische Integration;</t>
  </si>
  <si>
    <t>Texterstellung (Dokumentation, Berichte);Präsentationserstellung;</t>
  </si>
  <si>
    <t>Cloud-basierte Dienste (z.B. ChatGPT, Claude, o.ä.);Hardware aus firmeneigenem Rechenzentrum (VMs, Spezialhardware);Officehardware (Desktop-PCs, Laptops, Smartphone);</t>
  </si>
  <si>
    <t>Ich kenne die URL von ChatGPT</t>
  </si>
  <si>
    <t>Cloud-basierte Dienste (z.B. ChatGPT, Claude, o.ä.);Eigene private Hardware;</t>
  </si>
  <si>
    <t>Technische Integration;Kosten;</t>
  </si>
  <si>
    <t>Texterstellung (Dokumentation, Berichte);Bildgenerierung;Brainstorming;</t>
  </si>
  <si>
    <t>Recherche und Wissensvermittlung;Texterstellung (Dokumentation, Berichte);Präsentationserstellung;Bildgenerierung;Zusammenfassung von Sachverhalten;</t>
  </si>
  <si>
    <t>Kein sinnvoller Einsatzzweck;Datensicherheit;Schwierigkeiten bei der Verwendung;</t>
  </si>
  <si>
    <t>Sinkende Produktivität;</t>
  </si>
  <si>
    <t>Texterstellung (Dokumentation, Berichte);Präsentationserstellung;Bildgenerierung;</t>
  </si>
  <si>
    <t>Datensicherheit;Akzeptanz im Team/Unternehmen;</t>
  </si>
  <si>
    <t>Finance</t>
  </si>
  <si>
    <t>Texterstellung (Dokumentation, Berichte);Recherche und Wissensvermittlung;Präsentationserstellung;Bildgenerierung;Softwareentwicklung (Code Generierung);Softwareentwicklung (Code Review);Bugfixing;data analysis;Testfallerstellung;</t>
  </si>
  <si>
    <t>Texterstellung (Dokumentation, Berichte);Softwareentwicklung (Code Generierung);Softwareentwicklung (Code Review);Bugfixing;</t>
  </si>
  <si>
    <t>Recherche und Wissensvermittlung;Testfallerstellung;rewriting of text;</t>
  </si>
  <si>
    <t>Texterstellung (Dokumentation, Berichte);Recherche und Wissensvermittlung;Bildgenerierung;</t>
  </si>
  <si>
    <t>Technische Integration;Kosten;Datensicherheit;</t>
  </si>
  <si>
    <t>Recherche und Wissensvermittlung;Texterstellung (Dokumentation, Berichte);Präsentationserstellung;Softwareentwicklung (Code Generierung);Softwareentwicklung (Code Review);Bugfixing;</t>
  </si>
  <si>
    <t>Software-Lizenzen für KI-Tools erwerben;</t>
  </si>
  <si>
    <t>Texterstellung (Dokumentation, Berichte);Recherche und Wissensvermittlung;</t>
  </si>
  <si>
    <t>Kein sinnvoller Einsatzzweck;Datensicherheit;</t>
  </si>
  <si>
    <t>Firmenlizenz;Privater Account (bezahlt);</t>
  </si>
  <si>
    <t>Recherche und Wissensvermittlung;Texterstellung (Dokumentation, Berichte);Präsentationserstellung;Bildgenerierung;Prompting challenges on events, contract checking;</t>
  </si>
  <si>
    <t>Recherche und Wissensvermittlung;Texterstellung (Dokumentation, Berichte);Softwareentwicklung (Code Generierung);</t>
  </si>
  <si>
    <t>Cloud-basierte Dienste (z.B. ChatGPT, Claude, o.ä.);Officehardware (Desktop-PCs, Laptops, Smartphone);Eigene private Hardware;</t>
  </si>
  <si>
    <t>KI-Schulungen für dich oder dein Team;Software-Lizenzen für KI-Tools erwerben;Entwicklung eigener KI-Lösungen;</t>
  </si>
  <si>
    <t>Marketing</t>
  </si>
  <si>
    <t>Ich nutze die Tools einfach;</t>
  </si>
  <si>
    <t>Datensicherheit;Sinkende Produktivität;</t>
  </si>
  <si>
    <t>Recherche und Wissensvermittlung;Texterstellung (Dokumentation, Berichte);Bugfixing;</t>
  </si>
  <si>
    <t>Großes Unternehmen (251-5000 Mitarbeiter)</t>
  </si>
  <si>
    <t>Datensicherheit;Kosten;Kein sinnvoller Einsatzzweck;</t>
  </si>
  <si>
    <t>Entwicklung &amp; Architektur (Software, Data Science, KI, Systemarchitektur)</t>
  </si>
  <si>
    <t>Schwierigkeiten bei der Verwendung;Kosten;</t>
  </si>
  <si>
    <t>Softwareentwicklung (Code Generierung);Texterstellung (Dokumentation, Berichte);Recherche und Wissensvermittlung;</t>
  </si>
  <si>
    <t>Neutral</t>
  </si>
  <si>
    <t>Datensicherheit;Technische Integration;Kosten;</t>
  </si>
  <si>
    <t>KI-Schulungen für dich oder dein Team;Entwicklung eigener KI-Lösungen;Eigene KI-Hardware einsetzen;</t>
  </si>
  <si>
    <t>Nein</t>
  </si>
  <si>
    <t>Privater Account (kostenlose Nutzung);</t>
  </si>
  <si>
    <t>Ich kenne die gesetzlichen Rahmenbedingungen (z.B. DSGVO, EU-AI-Act);</t>
  </si>
  <si>
    <t>Negative Auswirkungen</t>
  </si>
  <si>
    <t>Kein sinnvoller Einsatzzweck;Sinkende Produktivität;Datensicherheit;Technische Integration;</t>
  </si>
  <si>
    <t>Recherche und Wissensvermittlung;Softwareentwicklung (Code Generierung);</t>
  </si>
  <si>
    <t>Cloud-basierte Dienste (z.B. ChatGPT, Claude, o.ä.);Hardware aus firmeneigenem Rechenzentrum (VMs, Spezialhardware);</t>
  </si>
  <si>
    <t>Datensicherheit;Technische Integration;Schwierigkeiten bei der Verwendung;</t>
  </si>
  <si>
    <t>Recherche und Wissensvermittlung;Texterstellung (Dokumentation, Berichte);Bildgenerierung;Softwareentwicklung (Code Generierung);Softwareentwicklung (Code Review);Bugfixing;Testfallerstellung;</t>
  </si>
  <si>
    <t>Datensicherheit;Kosten;Akzeptanz im Team/Unternehmen;</t>
  </si>
  <si>
    <t>Kleines Unternehmen (bis 50 Mitarbeiter)</t>
  </si>
  <si>
    <t>Recherche und Wissensvermittlung;Texterstellung (Dokumentation, Berichte);Softwareentwicklung (Code Review);Softwareentwicklung (Code Generierung);</t>
  </si>
  <si>
    <t>Privater Account (bezahlt);Privater Account (kostenlose Nutzung);</t>
  </si>
  <si>
    <t>Kosten;Technische Integration;</t>
  </si>
  <si>
    <t>Recherche und Wissensvermittlung;Texterstellung (Dokumentation, Berichte);Softwareentwicklung (Code Generierung);Softwareentwicklung (Code Review);Testfallerstellung;</t>
  </si>
  <si>
    <t>Officehardware (Desktop-PCs, Laptops, Smartphone);Cloud-basierte Dienste (z.B. ChatGPT, Claude, o.ä.);</t>
  </si>
  <si>
    <t>Datensicherheit;Akzeptanz im Team/Unternehmen;Technische Integration;</t>
  </si>
  <si>
    <t>Texterstellung (Dokumentation, Berichte);Recherche und Wissensvermittlung;Präsentationserstellung;</t>
  </si>
  <si>
    <t>Ich kenne die gesetzlichen Rahmenbedingungen (z.B. DSGVO, EU-AI-Act);Unternehmensrichtlinien sind mir bekannt;</t>
  </si>
  <si>
    <t>Softwareentwicklung (Code Generierung);</t>
  </si>
  <si>
    <t>Softwareentwicklung (Code Generierung);Softwareentwicklung (Code Review);Bugfixing;</t>
  </si>
  <si>
    <t>Recherche und Wissensvermittlung;Texterstellung (Dokumentation, Berichte);Softwareentwicklung (Code Review);Softwareentwicklung (Code Generierung);Generierung von Testdaten;</t>
  </si>
  <si>
    <t>Datensicherheit;Kosten;Technische Integration;Schwierigkeiten bei der Verwendung;</t>
  </si>
  <si>
    <t>Recherche und Wissensvermittlung;Bildgenerierung;Softwareentwicklung (Code Generierung);Softwareentwicklung (Code Review);Testfallerstellung;Bugfixing;</t>
  </si>
  <si>
    <t>Privater Account (kostenlose Nutzung);Firmenlizenz;</t>
  </si>
  <si>
    <t>Kosten;Akzeptanz im Team/Unternehmen;Technische Integration;</t>
  </si>
  <si>
    <t>Recherche und Wissensvermittlung;Softwareentwicklung (Code Generierung);Softwareentwicklung (Code Review);Bugfixing;</t>
  </si>
  <si>
    <t>Cloud-basierte Dienste (z.B. ChatGPT, Claude, o.ä.);Hardware aus firmeneigenem Rechenzentrum (VMs, Spezialhardware);Eigene private Hardware;</t>
  </si>
  <si>
    <t>Schwierigkeiten bei der Verwendung;Datensicherheit;Akzeptanz im Team/Unternehmen;</t>
  </si>
  <si>
    <t>Recherche und Wissensvermittlung;Texterstellung (Dokumentation, Berichte);Softwareentwicklung (Code Generierung);Softwareentwicklung (Code Review);Testfallerstellung;Bugfixing;Übersetzen/Zusammenfassen von Commits und Comments;</t>
  </si>
  <si>
    <t>Cloud-basierte Dienste (z.B. ChatGPT, Claude, o.ä.);Officehardware (Desktop-PCs, Laptops, Smartphone);Hardware aus firmeneigenem Rechenzentrum (VMs, Spezialhardware);</t>
  </si>
  <si>
    <t>Datensicherheit;Schwierigkeiten bei der Verwendung;</t>
  </si>
  <si>
    <t>Softwareentwicklung (Code Generierung);Softwareentwicklung (Code Review);Testfallerstellung;Bugfixing;Texterstellung (Dokumentation, Berichte);Recherche und Wissensvermittlung;</t>
  </si>
  <si>
    <t>Technische Integration;Datensicherheit;Kosten;Akzeptanz im Team/Unternehmen;</t>
  </si>
  <si>
    <t>Recherche und Wissensvermittlung;Präsentationserstellung;</t>
  </si>
  <si>
    <t>Unternehmensrichtlinien sind mir bekannt;Ich nutze die Tools einfach;</t>
  </si>
  <si>
    <t>Recherche und Wissensvermittlung;Bildgenerierung;Softwareentwicklung (Code Generierung);Softwareentwicklung (Code Review);Testfallerstellung;</t>
  </si>
  <si>
    <t>Recherche und Wissensvermittlung;Softwareentwicklung (Code Generierung);Bugfixing;</t>
  </si>
  <si>
    <t>Technische Integration;Schwierigkeiten bei der Verwendung;</t>
  </si>
  <si>
    <t>Operations (DevOps, Platform Engineering, IT-Admin)</t>
  </si>
  <si>
    <t>Software-Lizenzen für KI-Tools erwerben;KI-Schulungen für dich oder dein Team;</t>
  </si>
  <si>
    <t>Texterstellung (Dokumentation, Berichte);Bildgenerierung;</t>
  </si>
  <si>
    <t>Kein sinnvoller Einsatzzweck;Schwierigkeiten bei der Verwendung;Datensicherheit;Technische Integration;</t>
  </si>
  <si>
    <t>Recherche und Wissensvermittlung;Bildgenerierung;Softwareentwicklung (Code Generierung);</t>
  </si>
  <si>
    <t>Recherche und Wissensvermittlung;Texterstellung (Dokumentation, Berichte);Präsentationserstellung;Bildgenerierung;Softwareentwicklung (Code Generierung);Softwareentwicklung (Code Review);Testfallerstellung;</t>
  </si>
  <si>
    <t>Design &amp; Analyse (UX/UI, Business Analyst)</t>
  </si>
  <si>
    <t>Kein sinnvoller Einsatzzweck;Datensicherheit;Kosten;</t>
  </si>
  <si>
    <t>Recherche und Wissensvermittlung;Texterstellung (Dokumentation, Berichte);Bildgenerierung;Softwareentwicklung (Code Generierung);Softwareentwicklung (Code Review);Testfallerstellung;</t>
  </si>
  <si>
    <t>KI-Schulungen für dich oder dein Team;Entwicklung eigener KI-Lösungen;Software-Lizenzen für KI-Tools erwerben;</t>
  </si>
  <si>
    <t>Texterstellung (Dokumentation, Berichte);Softwareentwicklung (Code Generierung);Testfallerstellung;</t>
  </si>
  <si>
    <t>Texterstellung (Dokumentation, Berichte);Präsentationserstellung;Bildgenerierung;Softwareentwicklung (Code Generierung);</t>
  </si>
  <si>
    <t>Kein sinnvoller Einsatzzweck;Datensicherheit;Schwierigkeiten bei der Verwendung;Kosten;</t>
  </si>
  <si>
    <t>Software-Lizenzen für KI-Tools erwerben;Entwicklung eigener KI-Lösungen;KI-Schulungen für dich oder dein Team;</t>
  </si>
  <si>
    <t>Mittleres Unternehmen (51-250 Mitarbeiter)</t>
  </si>
  <si>
    <t>Recherche und Wissensvermittlung;Texterstellung (Dokumentation, Berichte);Präsentationserstellung;Softwareentwicklung (Code Generierung);Softwareentwicklung (Code Review);Testfallerstellung;Bugfixing;</t>
  </si>
  <si>
    <t>Eigene private Hardware;Cloud-basierte Dienste (z.B. ChatGPT, Claude, o.ä.);</t>
  </si>
  <si>
    <t>Ich kenne die gesetzlichen Rahmenbedingungen (z.B. DSGVO, EU-AI-Act);Ich nutze die Tools einfach;</t>
  </si>
  <si>
    <t>Technische Integration;Akzeptanz im Team/Unternehmen;Datensicherheit;Schwierigkeiten bei der Verwendung;</t>
  </si>
  <si>
    <t>Entwicklung eigener KI-Lösungen;Eigene KI-Hardware einsetzen;</t>
  </si>
  <si>
    <t>Softwareentwicklung (Code Generierung);Softwareentwicklung (Code Review);Testfallerstellung;Recherche und Wissensvermittlung;</t>
  </si>
  <si>
    <t>Datensicherheit;Kosten;Technische Integration;</t>
  </si>
  <si>
    <t>Recherche und Wissensvermittlung;Softwareentwicklung (Code Review);Softwareentwicklung (Code Generierung);</t>
  </si>
  <si>
    <t>Sinkende Produktivität;Datensicherheit;Technische Integration;</t>
  </si>
  <si>
    <t>Recherche und Wissensvermittlung;Testfallerstellung;</t>
  </si>
  <si>
    <t>Recherche und Wissensvermittlung;Texterstellung (Dokumentation, Berichte);Softwareentwicklung (Code Generierung);Softwareentwicklung (Code Review);</t>
  </si>
  <si>
    <t>Recherche und Wissensvermittlung;Bildgenerierung;</t>
  </si>
  <si>
    <t>Recherche und Wissensvermittlung;Texterstellung (Dokumentation, Berichte);Präsentationserstellung;Bildgenerierung;Softwareentwicklung (Code Generierung);Softwareentwicklung (Code Review);Testfallerstellung;Bugfixing;</t>
  </si>
  <si>
    <t>Software-Lizenzen für KI-Tools erwerben;KI-Schulungen für dich oder dein Team;Entwicklung eigener KI-Lösungen;Eigene KI-Hardware einsetzen;</t>
  </si>
  <si>
    <t>Keine Einschätzung möglich</t>
  </si>
  <si>
    <t>Kein sinnvoller Einsatzzweck;Technische Integration;</t>
  </si>
  <si>
    <t>Privater Account (kostenlose Nutzung);Privater Account (bezahlt);</t>
  </si>
  <si>
    <t>Recherche und Wissensvermittlung;Softwareentwicklung (Code Generierung);Testfallerstellung;</t>
  </si>
  <si>
    <t xml:space="preserve">Developer relations </t>
  </si>
  <si>
    <t>Recherche und Wissensvermittlung;Texterstellung (Dokumentation, Berichte);Softwareentwicklung (Code Generierung);Softwareentwicklung (Code Review);Testfallerstellung;Bugfixing;</t>
  </si>
  <si>
    <t>Recherche und Wissensvermittlung;Texterstellung (Dokumentation, Berichte);Bildgenerierung;Softwareentwicklung (Code Generierung);Bugfixing;</t>
  </si>
  <si>
    <t>Eigene KI-Hardware einsetzen;</t>
  </si>
  <si>
    <t>Softwareentwicklung (Code Review);Softwareentwicklung (Code Generierung);Testfallerstellung;Bugfixing;</t>
  </si>
  <si>
    <t>Recherche und Wissensvermittlung;Texterstellung (Dokumentation, Berichte);Präsentationserstellung;Bildgenerierung;Softwareentwicklung (Code Generierung);Softwareentwicklung (Code Review);Testfallerstellung;Bugfixing;Avatare, Videos, Musik, Konzepterstellung, Automatisierung und vieles mehr;</t>
  </si>
  <si>
    <t>Recherche und Wissensvermittlung;Softwareentwicklung (Code Generierung);Softwareentwicklung (Code Review);Testfallerstellung;</t>
  </si>
  <si>
    <t>Recherche und Wissensvermittlung;Softwareentwicklung (Code Review);</t>
  </si>
  <si>
    <t>Keine Aktivität geplant;</t>
  </si>
  <si>
    <t>Softwareentwicklung (Code-Generierung);Softwareentwicklung (Code Review);</t>
  </si>
  <si>
    <t>Firmenlizenz</t>
  </si>
  <si>
    <t>rc-Officehardware (Desktop-PCs, Laptops);</t>
  </si>
  <si>
    <t>Schwierigkeiten bei der Verwendung;Datensicherheit;Kosten;Technische Integration;Kein sinnvoller Einsatzzweck;</t>
  </si>
  <si>
    <t>Texterstellung (Dokumentation, Berichte);Softwareentwicklung (Code-Generierung);Testfallerstellung;Bildgenerierung;</t>
  </si>
  <si>
    <t>Präsentationserstellung;Texterstellung (Dokumentation, Berichte);Recherche und Wissensvermittlung;</t>
  </si>
  <si>
    <t>Privater Account (kostenlose Nutzung)</t>
  </si>
  <si>
    <t>nein;</t>
  </si>
  <si>
    <t>Ich nutze die Tools einfach;Ich kenne die gesetzlichen Rahmenbedingungen (z.B. DSGVO, EU-AI-Act);</t>
  </si>
  <si>
    <t>extern Umfrage generieren;</t>
  </si>
  <si>
    <t>Recherche und Wissensvermittlung;Softwareentwicklung (Code-Generierung);</t>
  </si>
  <si>
    <t>Hardware aus rc-Rechenzentrum (VMs, Spezialhardware);rc-Officehardware (Desktop-PCs, Laptops);Cloud-basierte Dienste (z.B. ChatGPT, Claude, o.ä.);</t>
  </si>
  <si>
    <t>Ohne CoT Prompts fange ich nicht an zu suchen</t>
  </si>
  <si>
    <t>Datensicherheit;Kosten;Man muss aktiv und eigenständig an den Schutz der Kunden-/Unternehmesgeheimnisse denken und nicht "blind" Anfragen an externe Systeme stellen.;</t>
  </si>
  <si>
    <t>Recherche und Wissensvermittlung;Texterstellung (Dokumentation, Berichte);Softwareentwicklung (Code-Generierung);</t>
  </si>
  <si>
    <t>Hardware aus rc-Rechenzentrum (VMs, Spezialhardware);Eigene private Hardware;</t>
  </si>
  <si>
    <t>Bildgenerierung;</t>
  </si>
  <si>
    <t>Privater Account (bezahlt)</t>
  </si>
  <si>
    <t>Recherche und Wissensvermittlung;Texterstellung (Dokumentation, Berichte);Präsentationserstellung;Bildgenerierung;Softwareentwicklung (Code-Generierung);Softwareentwicklung (Code Review);</t>
  </si>
  <si>
    <t>Hardware aus rc-Rechenzentrum (VMs, Spezialhardware);</t>
  </si>
  <si>
    <t>Für mich keine negativen Aspekte, da ich Risiken vorausschauend abwäge und gezielt versuche zu minimiere.;</t>
  </si>
  <si>
    <t>Datensicherheit;Kosten;Akzeptanz im Team;</t>
  </si>
  <si>
    <t>Softwareentwicklung (Code-Generierung);Recherche und Wissensvermittlung;</t>
  </si>
  <si>
    <t>Recherche und Wissensvermittlung;Softwareentwicklung (Code Review);Bugfixing;</t>
  </si>
  <si>
    <t>Entwicklung eigener KI-Lösungen;KI-Schulungen für dich oder dein Team;</t>
  </si>
  <si>
    <t>Bildgenerierung;Softwareentwicklung (Code-Generierung);Testfallerstellung;</t>
  </si>
  <si>
    <t>Eigene private Hardware;rc-Officehardware (Desktop-PCs, Laptops);Cloud-basierte Dienste (z.B. ChatGPT, Claude, o.ä.);</t>
  </si>
  <si>
    <t>Kosten;</t>
  </si>
  <si>
    <t>Recherche und Wissensvermittlung;Softwareentwicklung (Code-Generierung);Bugfixing;</t>
  </si>
  <si>
    <t>Präsentationserstellung;Bildgenerierung;Recherche und Wissensvermittlung;</t>
  </si>
  <si>
    <t>Recherche und Wissensvermittlung;Texterstellung (Dokumentation, Berichte);Softwareentwicklung (Code-Generierung);Softwareentwicklung (Code Review);Bugfixing;</t>
  </si>
  <si>
    <t>Datensicherheit;Akzeptanz im Team;</t>
  </si>
  <si>
    <t>Recherche und Wissensvermittlung;Texterstellung (Dokumentation, Berichte);Softwareentwicklung (Code Review);Testfallerstellung;</t>
  </si>
  <si>
    <t>bis jetzt keine :);</t>
  </si>
  <si>
    <t>Bildgenerierung;Texterstellung (Dokumentation, Berichte);</t>
  </si>
  <si>
    <t>Recherche und Wissensvermittlung;Texterstellung (Dokumentation, Berichte);Bildgenerierung;Softwareentwicklung (Code-Generierung);</t>
  </si>
  <si>
    <t>Unzuverlässigkeit der Resultate, noch müssen sie komplett nachgeprüft werden.;</t>
  </si>
  <si>
    <t>rc-Officehardware (Desktop-PCs, Laptops);Cloud-basierte Dienste (z.B. ChatGPT, Claude, o.ä.);Hardware aus rc-Rechenzentrum (VMs, Spezialhardware);</t>
  </si>
  <si>
    <t>Datensicherheit;Kosten;Schwierigkeiten bei der Verwendung;</t>
  </si>
  <si>
    <t>Datensicherheit;Urheberrechte unklar;</t>
  </si>
  <si>
    <t>Keine Aktivität geplant;KI-Schulungen für dich oder dein Team;</t>
  </si>
  <si>
    <t>Recherche und Wissensvermittlung;Lösungsvorschläge (Code);</t>
  </si>
  <si>
    <t>nein;Datensicherheit;</t>
  </si>
  <si>
    <t>Eigene private Hardware;</t>
  </si>
  <si>
    <t>Recherche und Wissensvermittlung;Softwareentwicklung (Code Review);Texterstellung (Dokumentation, Berichte);</t>
  </si>
  <si>
    <t>Hardware aus rc-Rechenzentrum (VMs, Spezialhardware);Cloud-basierte Dienste (z.B. ChatGPT, Claude, o.ä.);</t>
  </si>
  <si>
    <t>Datensicherheit;CoPilot wäre interessant, aber ohne offizielles GO setze ich es nicht ein;</t>
  </si>
  <si>
    <t>rc-Officehardware (Desktop-PCs, Laptops);Eigene private Hardware;</t>
  </si>
  <si>
    <t>For which tasks do you primarily use generative AI tools?</t>
  </si>
  <si>
    <t>Research and knowledge dissemination</t>
  </si>
  <si>
    <t>Text generation</t>
  </si>
  <si>
    <t>Image generation</t>
  </si>
  <si>
    <t>Code generation</t>
  </si>
  <si>
    <t>Presentation creation</t>
  </si>
  <si>
    <t>Code review</t>
  </si>
  <si>
    <t>Testcase generation</t>
  </si>
  <si>
    <t xml:space="preserve">bugfixing </t>
  </si>
  <si>
    <t>What kind of GenAI infrastructure do you use?</t>
  </si>
  <si>
    <t>Cloud-based services</t>
  </si>
  <si>
    <t>office hardware</t>
  </si>
  <si>
    <t>personal hardware</t>
  </si>
  <si>
    <t>Company-owned data center infrastructure</t>
  </si>
  <si>
    <t>Are you aware of the compliance, data protection, and data security regulations related to the use of GenAI tools?</t>
  </si>
  <si>
    <t>I am familiar with the company's internal policies</t>
  </si>
  <si>
    <t>I am aware of the legal and regulatory framework</t>
  </si>
  <si>
    <t>I use the tools without specific consideration of regulations</t>
  </si>
  <si>
    <t>How would you currently assess your proficiency in using generative AI?</t>
  </si>
  <si>
    <t>Beginner</t>
  </si>
  <si>
    <t>Intermediate</t>
  </si>
  <si>
    <t>Advanced</t>
  </si>
  <si>
    <t>Professional</t>
  </si>
  <si>
    <t>How do you evaluate the impact of AI tools on your productivity?</t>
  </si>
  <si>
    <t>No evaluation possible</t>
  </si>
  <si>
    <t>Significant improvement</t>
  </si>
  <si>
    <t>Slight improvement</t>
  </si>
  <si>
    <t>Negative effects</t>
  </si>
  <si>
    <t>What challenges or barriers do you perceive when using generative AI tools?</t>
  </si>
  <si>
    <t>Data Security</t>
  </si>
  <si>
    <t>Expenses</t>
  </si>
  <si>
    <t>Technical integration</t>
  </si>
  <si>
    <t>Team acceptance</t>
  </si>
  <si>
    <t>Difficulties in usage</t>
  </si>
  <si>
    <t>Lack of a viable application</t>
  </si>
  <si>
    <t>Reduced productivity</t>
  </si>
  <si>
    <t>Do you plan to address any of the following topics within the next 12 months?</t>
  </si>
  <si>
    <t>AI training for you or your team</t>
  </si>
  <si>
    <t>Development of proprietary AI solutions</t>
  </si>
  <si>
    <t>Acquiring software licenses for AI tools</t>
  </si>
  <si>
    <t>Utilization of in-house AI hardware</t>
  </si>
  <si>
    <t>No AI-related activities planned</t>
  </si>
  <si>
    <t>How are the tools you use licensed</t>
  </si>
  <si>
    <t>Companylicence</t>
  </si>
  <si>
    <t>private free account</t>
  </si>
  <si>
    <t>Private paid account</t>
  </si>
  <si>
    <t>use cloud based solutions</t>
  </si>
  <si>
    <t>express concers regarding data security</t>
  </si>
  <si>
    <t>ChatGpT</t>
  </si>
  <si>
    <t>Daily</t>
  </si>
  <si>
    <t>Weekly</t>
  </si>
  <si>
    <t>Tried it</t>
  </si>
  <si>
    <t>Never</t>
  </si>
  <si>
    <t>Unknown</t>
  </si>
  <si>
    <t>17 zu 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</si>
</sst>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\ h:mm:ss"/>
  </numFmts>
  <fonts count="3">
    <font>
      <sz val="11.0"/>
      <color theme="1"/>
      <name val="Georgia"/>
      <scheme val="minor"/>
    </font>
    <font>
      <color theme="1"/>
      <name val="Georgia"/>
      <scheme val="minor"/>
    </font>
    <font>
      <sz val="11.0"/>
      <color theme="1"/>
      <name val="Century Gothi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dk1"/>
                </a:solidFill>
                <a:latin typeface="serif"/>
              </a:defRPr>
            </a:pPr>
            <a:r>
              <a:rPr b="0" sz="3000">
                <a:solidFill>
                  <a:schemeClr val="dk1"/>
                </a:solidFill>
                <a:latin typeface="serif"/>
              </a:rPr>
              <a:t>For which tasks do you primarily use generative AI tools?</a:t>
            </a:r>
          </a:p>
        </c:rich>
      </c:tx>
      <c:overlay val="0"/>
    </c:title>
    <c:plotArea>
      <c:layout>
        <c:manualLayout>
          <c:xMode val="edge"/>
          <c:yMode val="edge"/>
          <c:x val="0.2875"/>
          <c:y val="0.2520215633423179"/>
          <c:w val="0.6815833333333334"/>
          <c:h val="0.6494609164420485"/>
        </c:manualLayout>
      </c:layout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Tabellenblatt1!$A$3:$A$10</c:f>
            </c:strRef>
          </c:cat>
          <c:val>
            <c:numRef>
              <c:f>Tabellenblatt1!$B$3:$B$10</c:f>
              <c:numCache/>
            </c:numRef>
          </c:val>
        </c:ser>
        <c:ser>
          <c:idx val="1"/>
          <c:order val="1"/>
          <c:cat>
            <c:strRef>
              <c:f>Tabellenblatt1!$A$3:$A$10</c:f>
            </c:strRef>
          </c:cat>
          <c:val>
            <c:numRef>
              <c:f>Tabellenblatt1!$C$3:$C$10</c:f>
              <c:numCache/>
            </c:numRef>
          </c:val>
        </c:ser>
        <c:axId val="1910675211"/>
        <c:axId val="2066861758"/>
      </c:barChart>
      <c:catAx>
        <c:axId val="19106752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861758"/>
      </c:catAx>
      <c:valAx>
        <c:axId val="20668617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6752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dk1"/>
                </a:solidFill>
                <a:latin typeface="serif"/>
              </a:defRPr>
            </a:pPr>
            <a:r>
              <a:rPr b="0" sz="3000">
                <a:solidFill>
                  <a:schemeClr val="dk1"/>
                </a:solidFill>
                <a:latin typeface="serif"/>
              </a:rPr>
              <a:t>What kind of generative AI infrastructure do you utilize?</a:t>
            </a:r>
          </a:p>
        </c:rich>
      </c:tx>
      <c:overlay val="0"/>
    </c:title>
    <c:plotArea>
      <c:layout>
        <c:manualLayout>
          <c:xMode val="edge"/>
          <c:yMode val="edge"/>
          <c:x val="0.2775"/>
          <c:y val="0.25471698113207547"/>
          <c:w val="0.6915833333333335"/>
          <c:h val="0.6467654986522909"/>
        </c:manualLayout>
      </c:layout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Tabellenblatt1!$A$15:$A$18</c:f>
            </c:strRef>
          </c:cat>
          <c:val>
            <c:numRef>
              <c:f>Tabellenblatt1!$B$15:$B$18</c:f>
              <c:numCache/>
            </c:numRef>
          </c:val>
        </c:ser>
        <c:ser>
          <c:idx val="1"/>
          <c:order val="1"/>
          <c:cat>
            <c:strRef>
              <c:f>Tabellenblatt1!$A$15:$A$18</c:f>
            </c:strRef>
          </c:cat>
          <c:val>
            <c:numRef>
              <c:f>Tabellenblatt1!$C$15:$C$18</c:f>
              <c:numCache/>
            </c:numRef>
          </c:val>
        </c:ser>
        <c:axId val="533773711"/>
        <c:axId val="1070757898"/>
      </c:barChart>
      <c:catAx>
        <c:axId val="5337737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757898"/>
      </c:catAx>
      <c:valAx>
        <c:axId val="10707578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377371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dk1"/>
                </a:solidFill>
                <a:latin typeface="serif"/>
              </a:defRPr>
            </a:pPr>
            <a:r>
              <a:rPr b="0" sz="3000">
                <a:solidFill>
                  <a:schemeClr val="dk1"/>
                </a:solidFill>
                <a:latin typeface="serif"/>
              </a:rPr>
              <a:t>Are you aware of the compliance, data protection, and data security regulations related to the use of GenAI tools?</a:t>
            </a:r>
          </a:p>
        </c:rich>
      </c:tx>
      <c:overlay val="0"/>
    </c:title>
    <c:plotArea>
      <c:layout>
        <c:manualLayout>
          <c:xMode val="edge"/>
          <c:yMode val="edge"/>
          <c:x val="0.2875"/>
          <c:y val="0.28167115902964945"/>
          <c:w val="0.6815833333333334"/>
          <c:h val="0.6198113207547169"/>
        </c:manualLayout>
      </c:layout>
      <c:barChart>
        <c:barDir val="bar"/>
        <c:ser>
          <c:idx val="0"/>
          <c:order val="0"/>
          <c:tx>
            <c:strRef>
              <c:f>Tabellenblatt1!$B$27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Tabellenblatt1!$A$28:$A$30</c:f>
            </c:strRef>
          </c:cat>
          <c:val>
            <c:numRef>
              <c:f>Tabellenblatt1!$B$28:$B$30</c:f>
              <c:numCache/>
            </c:numRef>
          </c:val>
        </c:ser>
        <c:ser>
          <c:idx val="1"/>
          <c:order val="1"/>
          <c:tx>
            <c:strRef>
              <c:f>Tabellenblatt1!$C$27</c:f>
            </c:strRef>
          </c:tx>
          <c:cat>
            <c:strRef>
              <c:f>Tabellenblatt1!$A$28:$A$30</c:f>
            </c:strRef>
          </c:cat>
          <c:val>
            <c:numRef>
              <c:f>Tabellenblatt1!$C$28:$C$30</c:f>
              <c:numCache/>
            </c:numRef>
          </c:val>
        </c:ser>
        <c:axId val="748717385"/>
        <c:axId val="1238439836"/>
      </c:barChart>
      <c:catAx>
        <c:axId val="74871738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8439836"/>
      </c:catAx>
      <c:valAx>
        <c:axId val="12384398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871738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dk1"/>
                </a:solidFill>
                <a:latin typeface="serif"/>
              </a:defRPr>
            </a:pPr>
            <a:r>
              <a:rPr b="0" sz="3000">
                <a:solidFill>
                  <a:schemeClr val="dk1"/>
                </a:solidFill>
                <a:latin typeface="serif"/>
              </a:rPr>
              <a:t>How would you currently assess your proficiency in using generative AI?</a:t>
            </a:r>
          </a:p>
        </c:rich>
      </c:tx>
      <c:overlay val="0"/>
    </c:title>
    <c:plotArea>
      <c:layout>
        <c:manualLayout>
          <c:xMode val="edge"/>
          <c:yMode val="edge"/>
          <c:x val="0.030916666666666686"/>
          <c:y val="0.2762803234501346"/>
          <c:w val="0.9381666666666668"/>
          <c:h val="0.6737196765498652"/>
        </c:manualLayout>
      </c:layout>
      <c:pieChart>
        <c:varyColors val="1"/>
        <c:ser>
          <c:idx val="0"/>
          <c:order val="0"/>
          <c:tx>
            <c:strRef>
              <c:f>Tabellenblatt1!$B$37</c:f>
            </c:strRef>
          </c:tx>
          <c:dPt>
            <c:idx val="0"/>
            <c:spPr>
              <a:solidFill>
                <a:srgbClr val="587DC7"/>
              </a:solidFill>
            </c:spPr>
          </c:dPt>
          <c:dPt>
            <c:idx val="1"/>
            <c:spPr>
              <a:solidFill>
                <a:srgbClr val="93D1B2"/>
              </a:solidFill>
            </c:spPr>
          </c:dPt>
          <c:dPt>
            <c:idx val="2"/>
            <c:spPr>
              <a:solidFill>
                <a:srgbClr val="AD8BDC"/>
              </a:solidFill>
            </c:spPr>
          </c:dPt>
          <c:dPt>
            <c:idx val="3"/>
            <c:spPr>
              <a:solidFill>
                <a:srgbClr val="B86F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Tabellenblatt1!$A$38:$A$41</c:f>
            </c:strRef>
          </c:cat>
          <c:val>
            <c:numRef>
              <c:f>Tabellenblatt1!$B$38:$B$41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dk1"/>
                </a:solidFill>
                <a:latin typeface="serif"/>
              </a:defRPr>
            </a:pPr>
            <a:r>
              <a:rPr b="0" sz="3000">
                <a:solidFill>
                  <a:schemeClr val="dk1"/>
                </a:solidFill>
                <a:latin typeface="serif"/>
              </a:rPr>
              <a:t>How do you evaluate the impact of AI tools on your productivity?</a:t>
            </a:r>
          </a:p>
        </c:rich>
      </c:tx>
      <c:overlay val="0"/>
    </c:title>
    <c:plotArea>
      <c:layout>
        <c:manualLayout>
          <c:xMode val="edge"/>
          <c:yMode val="edge"/>
          <c:x val="0.030916666666666686"/>
          <c:y val="0.27088948787061995"/>
          <c:w val="0.9381666666666668"/>
          <c:h val="0.6791105121293797"/>
        </c:manualLayout>
      </c:layout>
      <c:pieChart>
        <c:varyColors val="1"/>
        <c:ser>
          <c:idx val="0"/>
          <c:order val="0"/>
          <c:tx>
            <c:strRef>
              <c:f>Tabellenblatt1!$B$45</c:f>
            </c:strRef>
          </c:tx>
          <c:dPt>
            <c:idx val="0"/>
            <c:spPr>
              <a:solidFill>
                <a:schemeClr val="accent5"/>
              </a:solidFill>
            </c:spPr>
          </c:dPt>
          <c:dPt>
            <c:idx val="1"/>
            <c:spPr>
              <a:solidFill>
                <a:srgbClr val="587DC7"/>
              </a:solidFill>
            </c:spPr>
          </c:dPt>
          <c:dPt>
            <c:idx val="2"/>
            <c:spPr>
              <a:solidFill>
                <a:srgbClr val="93D1B2"/>
              </a:solidFill>
            </c:spPr>
          </c:dPt>
          <c:dPt>
            <c:idx val="3"/>
            <c:spPr>
              <a:solidFill>
                <a:schemeClr val="accent3"/>
              </a:solidFill>
            </c:spPr>
          </c:dPt>
          <c:dPt>
            <c:idx val="4"/>
            <c:spPr>
              <a:solidFill>
                <a:schemeClr val="accent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Tabellenblatt1!$A$46:$A$50</c:f>
            </c:strRef>
          </c:cat>
          <c:val>
            <c:numRef>
              <c:f>Tabellenblatt1!$B$46:$B$50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dk1"/>
                </a:solidFill>
                <a:latin typeface="serif"/>
              </a:defRPr>
            </a:pPr>
            <a:r>
              <a:rPr b="0" sz="3000">
                <a:solidFill>
                  <a:schemeClr val="dk1"/>
                </a:solidFill>
                <a:latin typeface="serif"/>
              </a:rPr>
              <a:t>What challenges or barriers do you perceive when using generative AI tools?</a:t>
            </a:r>
          </a:p>
        </c:rich>
      </c:tx>
      <c:overlay val="0"/>
    </c:title>
    <c:plotArea>
      <c:layout>
        <c:manualLayout>
          <c:xMode val="edge"/>
          <c:yMode val="edge"/>
          <c:x val="0.27416666666666667"/>
          <c:y val="0.25202156334231807"/>
          <c:w val="0.694916666666667"/>
          <c:h val="0.6494609164420483"/>
        </c:manualLayout>
      </c:layout>
      <c:barChart>
        <c:barDir val="bar"/>
        <c:ser>
          <c:idx val="0"/>
          <c:order val="0"/>
          <c:tx>
            <c:strRef>
              <c:f>Tabellenblatt1!$B$55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Tabellenblatt1!$A$56:$A$62</c:f>
            </c:strRef>
          </c:cat>
          <c:val>
            <c:numRef>
              <c:f>Tabellenblatt1!$B$56:$B$62</c:f>
              <c:numCache/>
            </c:numRef>
          </c:val>
        </c:ser>
        <c:axId val="417668608"/>
        <c:axId val="1124307946"/>
      </c:barChart>
      <c:catAx>
        <c:axId val="41766860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4307946"/>
      </c:catAx>
      <c:valAx>
        <c:axId val="11243079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766860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dk1"/>
                </a:solidFill>
                <a:latin typeface="serif"/>
              </a:defRPr>
            </a:pPr>
            <a:r>
              <a:rPr b="0" sz="3000">
                <a:solidFill>
                  <a:schemeClr val="dk1"/>
                </a:solidFill>
                <a:latin typeface="serif"/>
              </a:rPr>
              <a:t>Do you plan to address any of the following topics within the next 12 months?</a:t>
            </a:r>
          </a:p>
        </c:rich>
      </c:tx>
      <c:overlay val="0"/>
    </c:title>
    <c:plotArea>
      <c:layout>
        <c:manualLayout>
          <c:xMode val="edge"/>
          <c:yMode val="edge"/>
          <c:x val="0.2708333333333333"/>
          <c:y val="0.24932614555256064"/>
          <c:w val="0.6982499999999999"/>
          <c:h val="0.6521563342318057"/>
        </c:manualLayout>
      </c:layout>
      <c:barChart>
        <c:barDir val="bar"/>
        <c:ser>
          <c:idx val="0"/>
          <c:order val="0"/>
          <c:tx>
            <c:strRef>
              <c:f>Tabellenblatt1!$B$67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Tabellenblatt1!$A$68:$A$72</c:f>
            </c:strRef>
          </c:cat>
          <c:val>
            <c:numRef>
              <c:f>Tabellenblatt1!$B$68:$B$72</c:f>
              <c:numCache/>
            </c:numRef>
          </c:val>
        </c:ser>
        <c:axId val="1076900980"/>
        <c:axId val="837080852"/>
      </c:barChart>
      <c:catAx>
        <c:axId val="10769009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080852"/>
      </c:catAx>
      <c:valAx>
        <c:axId val="83708085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69009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dk1"/>
                </a:solidFill>
                <a:latin typeface="serif"/>
              </a:defRPr>
            </a:pPr>
            <a:r>
              <a:rPr b="0" sz="3000">
                <a:solidFill>
                  <a:schemeClr val="dk1"/>
                </a:solidFill>
                <a:latin typeface="serif"/>
              </a:rPr>
              <a:t>How are the tools you use licensed?</a:t>
            </a:r>
          </a:p>
        </c:rich>
      </c:tx>
      <c:overlay val="0"/>
    </c:title>
    <c:plotArea>
      <c:layout>
        <c:manualLayout>
          <c:xMode val="edge"/>
          <c:yMode val="edge"/>
          <c:x val="0.22149283854166663"/>
          <c:y val="0.22506738544474378"/>
          <c:w val="0.7475904947916668"/>
          <c:h val="0.6764150943396227"/>
        </c:manualLayout>
      </c:layout>
      <c:barChart>
        <c:barDir val="bar"/>
        <c:ser>
          <c:idx val="0"/>
          <c:order val="0"/>
          <c:tx>
            <c:strRef>
              <c:f>Tabellenblatt1!$B$76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Tabellenblatt1!$A$77:$A$79</c:f>
            </c:strRef>
          </c:cat>
          <c:val>
            <c:numRef>
              <c:f>Tabellenblatt1!$B$77:$B$79</c:f>
              <c:numCache/>
            </c:numRef>
          </c:val>
        </c:ser>
        <c:axId val="132261247"/>
        <c:axId val="624266941"/>
      </c:barChart>
      <c:catAx>
        <c:axId val="13226124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4266941"/>
      </c:catAx>
      <c:valAx>
        <c:axId val="6242669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26124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2400">
                <a:solidFill>
                  <a:srgbClr val="757575"/>
                </a:solidFill>
                <a:latin typeface="+mn-lt"/>
              </a:defRPr>
            </a:pPr>
            <a:r>
              <a:rPr b="0" sz="2400">
                <a:solidFill>
                  <a:srgbClr val="757575"/>
                </a:solidFill>
                <a:latin typeface="+mn-lt"/>
              </a:rPr>
              <a:t>proportion of people expressing concerns regarding data security among those who use cloud-based GenAI solutions</a:t>
            </a:r>
          </a:p>
        </c:rich>
      </c:tx>
      <c:overlay val="0"/>
    </c:title>
    <c:plotArea>
      <c:layout>
        <c:manualLayout>
          <c:xMode val="edge"/>
          <c:yMode val="edge"/>
          <c:x val="0.030916666666666686"/>
          <c:y val="0.25741239892183304"/>
          <c:w val="0.9381666666666668"/>
          <c:h val="0.6925876010781667"/>
        </c:manualLayout>
      </c:layout>
      <c:pieChart>
        <c:varyColors val="1"/>
        <c:ser>
          <c:idx val="0"/>
          <c:order val="0"/>
          <c:dPt>
            <c:idx val="0"/>
            <c:spPr>
              <a:solidFill>
                <a:srgbClr val="587DC7"/>
              </a:solidFill>
            </c:spPr>
          </c:dPt>
          <c:dPt>
            <c:idx val="1"/>
            <c:spPr>
              <a:solidFill>
                <a:srgbClr val="00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Tabellenblatt1!$A$109:$A$110</c:f>
            </c:strRef>
          </c:cat>
          <c:val>
            <c:numRef>
              <c:f>Tabellenblatt1!$A$109:$A$110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chemeClr val="lt1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chemeClr val="dk1"/>
                </a:solidFill>
                <a:latin typeface="serif"/>
              </a:defRPr>
            </a:pPr>
            <a:r>
              <a:rPr b="0" sz="3000">
                <a:solidFill>
                  <a:schemeClr val="dk1"/>
                </a:solidFill>
                <a:latin typeface="serif"/>
              </a:rPr>
              <a:t>Use of different GenAI tools</a:t>
            </a:r>
          </a:p>
        </c:rich>
      </c:tx>
      <c:overlay val="0"/>
    </c:title>
    <c:plotArea>
      <c:layout>
        <c:manualLayout>
          <c:xMode val="edge"/>
          <c:yMode val="edge"/>
          <c:x val="0.2285500000000001"/>
          <c:y val="0.25202156334231807"/>
          <c:w val="0.7405333333333334"/>
          <c:h val="0.6494609164420483"/>
        </c:manualLayout>
      </c:layout>
      <c:barChart>
        <c:barDir val="bar"/>
        <c:grouping val="stacked"/>
        <c:ser>
          <c:idx val="0"/>
          <c:order val="0"/>
          <c:tx>
            <c:strRef>
              <c:f>Tabellenblatt2!$A$2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Tabellenblatt2!$B$1:$J$1</c:f>
            </c:strRef>
          </c:cat>
          <c:val>
            <c:numRef>
              <c:f>Tabellenblatt2!$B$2:$J$2</c:f>
              <c:numCache/>
            </c:numRef>
          </c:val>
        </c:ser>
        <c:ser>
          <c:idx val="1"/>
          <c:order val="1"/>
          <c:tx>
            <c:strRef>
              <c:f>Tabellenblatt2!$A$3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Tabellenblatt2!$B$1:$J$1</c:f>
            </c:strRef>
          </c:cat>
          <c:val>
            <c:numRef>
              <c:f>Tabellenblatt2!$B$3:$J$3</c:f>
              <c:numCache/>
            </c:numRef>
          </c:val>
        </c:ser>
        <c:ser>
          <c:idx val="2"/>
          <c:order val="2"/>
          <c:tx>
            <c:strRef>
              <c:f>Tabellenblatt2!$A$4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Tabellenblatt2!$B$1:$J$1</c:f>
            </c:strRef>
          </c:cat>
          <c:val>
            <c:numRef>
              <c:f>Tabellenblatt2!$B$4:$J$4</c:f>
              <c:numCache/>
            </c:numRef>
          </c:val>
        </c:ser>
        <c:ser>
          <c:idx val="3"/>
          <c:order val="3"/>
          <c:tx>
            <c:strRef>
              <c:f>Tabellenblatt2!$A$5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Tabellenblatt2!$B$1:$J$1</c:f>
            </c:strRef>
          </c:cat>
          <c:val>
            <c:numRef>
              <c:f>Tabellenblatt2!$B$5:$J$5</c:f>
              <c:numCache/>
            </c:numRef>
          </c:val>
        </c:ser>
        <c:ser>
          <c:idx val="4"/>
          <c:order val="4"/>
          <c:tx>
            <c:strRef>
              <c:f>Tabellenblatt2!$A$6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Tabellenblatt2!$B$1:$J$1</c:f>
            </c:strRef>
          </c:cat>
          <c:val>
            <c:numRef>
              <c:f>Tabellenblatt2!$B$6:$J$6</c:f>
              <c:numCache/>
            </c:numRef>
          </c:val>
        </c:ser>
        <c:overlap val="100"/>
        <c:axId val="56626865"/>
        <c:axId val="542796661"/>
      </c:barChart>
      <c:catAx>
        <c:axId val="5662686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2796661"/>
      </c:catAx>
      <c:valAx>
        <c:axId val="5427966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26865"/>
        <c:crosses val="max"/>
      </c:valAx>
    </c:plotArea>
    <c:legend>
      <c:legendPos val="r"/>
      <c:layout>
        <c:manualLayout>
          <c:xMode val="edge"/>
          <c:yMode val="edge"/>
          <c:x val="0.2051350911458335"/>
          <c:y val="0.17228212039532795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Relationship Id="rId10" Type="http://schemas.openxmlformats.org/officeDocument/2006/relationships/chart" Target="../charts/chart9.xml"/><Relationship Id="rId9" Type="http://schemas.openxmlformats.org/officeDocument/2006/relationships/chart" Target="../charts/chart8.xml"/><Relationship Id="rId5" Type="http://schemas.openxmlformats.org/officeDocument/2006/relationships/chart" Target="../charts/chart4.xml"/><Relationship Id="rId6" Type="http://schemas.openxmlformats.org/officeDocument/2006/relationships/chart" Target="../charts/chart5.xml"/><Relationship Id="rId7" Type="http://schemas.openxmlformats.org/officeDocument/2006/relationships/chart" Target="../charts/chart6.xml"/><Relationship Id="rId8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666750</xdr:colOff>
      <xdr:row>59</xdr:row>
      <xdr:rowOff>47625</xdr:rowOff>
    </xdr:from>
    <xdr:ext cx="5715000" cy="3533775"/>
    <xdr:pic>
      <xdr:nvPicPr>
        <xdr:cNvPr id="122072475" name="Chart1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914400</xdr:colOff>
      <xdr:row>7</xdr:row>
      <xdr:rowOff>123825</xdr:rowOff>
    </xdr:from>
    <xdr:ext cx="5715000" cy="3533775"/>
    <xdr:pic>
      <xdr:nvPicPr>
        <xdr:cNvPr id="1170966002" name="Chart2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0</xdr:row>
      <xdr:rowOff>0</xdr:rowOff>
    </xdr:from>
    <xdr:ext cx="5715000" cy="3533775"/>
    <xdr:graphicFrame>
      <xdr:nvGraphicFramePr>
        <xdr:cNvPr id="2128500250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9525</xdr:colOff>
      <xdr:row>8</xdr:row>
      <xdr:rowOff>57150</xdr:rowOff>
    </xdr:from>
    <xdr:ext cx="5715000" cy="3533775"/>
    <xdr:graphicFrame>
      <xdr:nvGraphicFramePr>
        <xdr:cNvPr id="1383452166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9525</xdr:colOff>
      <xdr:row>16</xdr:row>
      <xdr:rowOff>180975</xdr:rowOff>
    </xdr:from>
    <xdr:ext cx="5715000" cy="3533775"/>
    <xdr:graphicFrame>
      <xdr:nvGraphicFramePr>
        <xdr:cNvPr id="1713247311" name="Chart 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685800</xdr:colOff>
      <xdr:row>31</xdr:row>
      <xdr:rowOff>123825</xdr:rowOff>
    </xdr:from>
    <xdr:ext cx="5715000" cy="3533775"/>
    <xdr:graphicFrame>
      <xdr:nvGraphicFramePr>
        <xdr:cNvPr id="1678810031" name="Chart 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</xdr:col>
      <xdr:colOff>819150</xdr:colOff>
      <xdr:row>36</xdr:row>
      <xdr:rowOff>152400</xdr:rowOff>
    </xdr:from>
    <xdr:ext cx="5715000" cy="3533775"/>
    <xdr:graphicFrame>
      <xdr:nvGraphicFramePr>
        <xdr:cNvPr id="83182100" name="Chart 7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600075</xdr:colOff>
      <xdr:row>46</xdr:row>
      <xdr:rowOff>76200</xdr:rowOff>
    </xdr:from>
    <xdr:ext cx="5715000" cy="3533775"/>
    <xdr:graphicFrame>
      <xdr:nvGraphicFramePr>
        <xdr:cNvPr id="1997862453" name="Chart 8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3</xdr:col>
      <xdr:colOff>9525</xdr:colOff>
      <xdr:row>56</xdr:row>
      <xdr:rowOff>123825</xdr:rowOff>
    </xdr:from>
    <xdr:ext cx="5715000" cy="3533775"/>
    <xdr:graphicFrame>
      <xdr:nvGraphicFramePr>
        <xdr:cNvPr id="1026840749" name="Chart 9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6</xdr:col>
      <xdr:colOff>838200</xdr:colOff>
      <xdr:row>69</xdr:row>
      <xdr:rowOff>57150</xdr:rowOff>
    </xdr:from>
    <xdr:ext cx="5715000" cy="3533775"/>
    <xdr:graphicFrame>
      <xdr:nvGraphicFramePr>
        <xdr:cNvPr id="1203201052" name="Chart 10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5</xdr:col>
      <xdr:colOff>257175</xdr:colOff>
      <xdr:row>95</xdr:row>
      <xdr:rowOff>85725</xdr:rowOff>
    </xdr:from>
    <xdr:ext cx="5715000" cy="3533775"/>
    <xdr:graphicFrame>
      <xdr:nvGraphicFramePr>
        <xdr:cNvPr id="1586927916" name="Chart 1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180975</xdr:colOff>
      <xdr:row>9</xdr:row>
      <xdr:rowOff>133350</xdr:rowOff>
    </xdr:from>
    <xdr:ext cx="5715000" cy="3533775"/>
    <xdr:graphicFrame>
      <xdr:nvGraphicFramePr>
        <xdr:cNvPr id="1984708437" name="Chart 1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7DC7"/>
      </a:accent1>
      <a:accent2>
        <a:srgbClr val="93D1B2"/>
      </a:accent2>
      <a:accent3>
        <a:srgbClr val="AD8BDC"/>
      </a:accent3>
      <a:accent4>
        <a:srgbClr val="B86FC6"/>
      </a:accent4>
      <a:accent5>
        <a:srgbClr val="BFD868"/>
      </a:accent5>
      <a:accent6>
        <a:srgbClr val="59A283"/>
      </a:accent6>
      <a:hlink>
        <a:srgbClr val="FB4A18"/>
      </a:hlink>
      <a:folHlink>
        <a:srgbClr val="FB4A18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7" width="14.0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ht="14.25" customHeight="1">
      <c r="A2" s="2">
        <v>1.0</v>
      </c>
      <c r="B2" s="3">
        <v>45618.6325115741</v>
      </c>
      <c r="C2" s="3">
        <v>45618.6344675926</v>
      </c>
      <c r="D2" s="2" t="s">
        <v>25</v>
      </c>
      <c r="AA2" s="3"/>
    </row>
    <row r="3" ht="14.25" customHeight="1">
      <c r="A3" s="2">
        <v>1.0</v>
      </c>
      <c r="B3" s="3">
        <v>45621.3105324074</v>
      </c>
      <c r="C3" s="3">
        <v>45621.3117476852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33</v>
      </c>
      <c r="N3" s="2" t="s">
        <v>33</v>
      </c>
      <c r="O3" s="2" t="s">
        <v>33</v>
      </c>
      <c r="P3" s="2" t="s">
        <v>33</v>
      </c>
      <c r="Q3" s="2" t="s">
        <v>33</v>
      </c>
      <c r="R3" s="2" t="s">
        <v>33</v>
      </c>
      <c r="S3" s="2" t="s">
        <v>34</v>
      </c>
      <c r="T3" s="2" t="s">
        <v>35</v>
      </c>
      <c r="U3" s="2" t="s">
        <v>36</v>
      </c>
      <c r="V3" s="2" t="s">
        <v>37</v>
      </c>
      <c r="W3" s="2" t="s">
        <v>38</v>
      </c>
      <c r="X3" s="2" t="s">
        <v>39</v>
      </c>
      <c r="Y3" s="2" t="s">
        <v>40</v>
      </c>
      <c r="AA3" s="3"/>
    </row>
    <row r="4" ht="14.25" customHeight="1">
      <c r="A4" s="2">
        <v>2.0</v>
      </c>
      <c r="B4" s="3">
        <v>45621.3119097222</v>
      </c>
      <c r="C4" s="3">
        <v>45621.3136458333</v>
      </c>
      <c r="D4" s="2" t="s">
        <v>25</v>
      </c>
      <c r="E4" s="2" t="s">
        <v>41</v>
      </c>
      <c r="F4" s="2" t="s">
        <v>42</v>
      </c>
      <c r="G4" s="2" t="s">
        <v>28</v>
      </c>
      <c r="H4" s="2" t="s">
        <v>29</v>
      </c>
      <c r="I4" s="2" t="s">
        <v>43</v>
      </c>
      <c r="J4" s="2" t="s">
        <v>31</v>
      </c>
      <c r="R4" s="2" t="s">
        <v>31</v>
      </c>
      <c r="S4" s="2" t="s">
        <v>44</v>
      </c>
      <c r="T4" s="2" t="s">
        <v>35</v>
      </c>
      <c r="U4" s="2" t="s">
        <v>45</v>
      </c>
      <c r="V4" s="2" t="s">
        <v>46</v>
      </c>
      <c r="W4" s="2" t="s">
        <v>38</v>
      </c>
      <c r="X4" s="2" t="s">
        <v>47</v>
      </c>
      <c r="Y4" s="2" t="s">
        <v>48</v>
      </c>
      <c r="AA4" s="3"/>
    </row>
    <row r="5" ht="14.25" customHeight="1">
      <c r="A5" s="2">
        <v>3.0</v>
      </c>
      <c r="B5" s="3">
        <v>45621.3149652778</v>
      </c>
      <c r="C5" s="3">
        <v>45621.3163657407</v>
      </c>
      <c r="D5" s="2" t="s">
        <v>25</v>
      </c>
      <c r="E5" s="2" t="s">
        <v>26</v>
      </c>
      <c r="F5" s="2" t="s">
        <v>49</v>
      </c>
      <c r="G5" s="2" t="s">
        <v>28</v>
      </c>
      <c r="H5" s="2" t="s">
        <v>29</v>
      </c>
      <c r="I5" s="2" t="s">
        <v>50</v>
      </c>
      <c r="J5" s="2" t="s">
        <v>51</v>
      </c>
      <c r="K5" s="2" t="s">
        <v>33</v>
      </c>
      <c r="L5" s="2" t="s">
        <v>52</v>
      </c>
      <c r="M5" s="2" t="s">
        <v>52</v>
      </c>
      <c r="N5" s="2" t="s">
        <v>33</v>
      </c>
      <c r="O5" s="2" t="s">
        <v>32</v>
      </c>
      <c r="P5" s="2" t="s">
        <v>32</v>
      </c>
      <c r="Q5" s="2" t="s">
        <v>52</v>
      </c>
      <c r="R5" s="2" t="s">
        <v>52</v>
      </c>
      <c r="S5" s="2" t="s">
        <v>44</v>
      </c>
      <c r="T5" s="2" t="s">
        <v>35</v>
      </c>
      <c r="U5" s="2" t="s">
        <v>36</v>
      </c>
      <c r="V5" s="2" t="s">
        <v>37</v>
      </c>
      <c r="W5" s="2" t="s">
        <v>38</v>
      </c>
      <c r="X5" s="2" t="s">
        <v>53</v>
      </c>
      <c r="Y5" s="2" t="s">
        <v>54</v>
      </c>
      <c r="AA5" s="3"/>
    </row>
    <row r="6" ht="14.25" customHeight="1">
      <c r="A6" s="2">
        <v>4.0</v>
      </c>
      <c r="B6" s="3">
        <v>45621.3148148148</v>
      </c>
      <c r="C6" s="3">
        <v>45621.3164583333</v>
      </c>
      <c r="D6" s="2" t="s">
        <v>25</v>
      </c>
      <c r="E6" s="2" t="s">
        <v>41</v>
      </c>
      <c r="F6" s="2" t="s">
        <v>49</v>
      </c>
      <c r="G6" s="2" t="s">
        <v>28</v>
      </c>
      <c r="H6" s="2" t="s">
        <v>29</v>
      </c>
      <c r="I6" s="2" t="s">
        <v>55</v>
      </c>
      <c r="J6" s="2" t="s">
        <v>51</v>
      </c>
      <c r="K6" s="2" t="s">
        <v>52</v>
      </c>
      <c r="L6" s="2" t="s">
        <v>52</v>
      </c>
      <c r="M6" s="2" t="s">
        <v>52</v>
      </c>
      <c r="N6" s="2" t="s">
        <v>52</v>
      </c>
      <c r="O6" s="2" t="s">
        <v>33</v>
      </c>
      <c r="P6" s="2" t="s">
        <v>32</v>
      </c>
      <c r="Q6" s="2" t="s">
        <v>52</v>
      </c>
      <c r="R6" s="2" t="s">
        <v>52</v>
      </c>
      <c r="S6" s="2" t="s">
        <v>56</v>
      </c>
      <c r="T6" s="2" t="s">
        <v>35</v>
      </c>
      <c r="U6" s="2" t="s">
        <v>36</v>
      </c>
      <c r="V6" s="2" t="s">
        <v>57</v>
      </c>
      <c r="W6" s="2" t="s">
        <v>38</v>
      </c>
      <c r="X6" s="2" t="s">
        <v>58</v>
      </c>
      <c r="Y6" s="2" t="s">
        <v>59</v>
      </c>
      <c r="AA6" s="3"/>
    </row>
    <row r="7" ht="14.25" customHeight="1">
      <c r="A7" s="2">
        <v>5.0</v>
      </c>
      <c r="B7" s="3">
        <v>45621.3239236111</v>
      </c>
      <c r="C7" s="3">
        <v>45621.3257175926</v>
      </c>
      <c r="D7" s="2" t="s">
        <v>25</v>
      </c>
      <c r="E7" s="2" t="s">
        <v>41</v>
      </c>
      <c r="F7" s="2" t="s">
        <v>49</v>
      </c>
      <c r="G7" s="2" t="s">
        <v>28</v>
      </c>
      <c r="H7" s="2" t="s">
        <v>29</v>
      </c>
      <c r="I7" s="2" t="s">
        <v>60</v>
      </c>
      <c r="J7" s="2" t="s">
        <v>31</v>
      </c>
      <c r="K7" s="2" t="s">
        <v>33</v>
      </c>
      <c r="L7" s="2" t="s">
        <v>52</v>
      </c>
      <c r="M7" s="2" t="s">
        <v>52</v>
      </c>
      <c r="N7" s="2" t="s">
        <v>33</v>
      </c>
      <c r="O7" s="2" t="s">
        <v>32</v>
      </c>
      <c r="P7" s="2" t="s">
        <v>32</v>
      </c>
      <c r="Q7" s="2" t="s">
        <v>52</v>
      </c>
      <c r="R7" s="2" t="s">
        <v>52</v>
      </c>
      <c r="S7" s="2" t="s">
        <v>44</v>
      </c>
      <c r="T7" s="2" t="s">
        <v>35</v>
      </c>
      <c r="U7" s="2" t="s">
        <v>45</v>
      </c>
      <c r="V7" s="2" t="s">
        <v>46</v>
      </c>
      <c r="W7" s="2" t="s">
        <v>38</v>
      </c>
      <c r="X7" s="2" t="s">
        <v>61</v>
      </c>
      <c r="Y7" s="2" t="s">
        <v>48</v>
      </c>
      <c r="AA7" s="3"/>
    </row>
    <row r="8" ht="14.25" customHeight="1">
      <c r="A8" s="2">
        <v>6.0</v>
      </c>
      <c r="B8" s="3">
        <v>45621.3289930556</v>
      </c>
      <c r="C8" s="3">
        <v>45621.3303472222</v>
      </c>
      <c r="D8" s="2" t="s">
        <v>25</v>
      </c>
      <c r="E8" s="2" t="s">
        <v>41</v>
      </c>
      <c r="F8" s="2" t="s">
        <v>42</v>
      </c>
      <c r="G8" s="2" t="s">
        <v>28</v>
      </c>
      <c r="H8" s="2" t="s">
        <v>29</v>
      </c>
      <c r="I8" s="2" t="s">
        <v>60</v>
      </c>
      <c r="J8" s="2" t="s">
        <v>51</v>
      </c>
      <c r="K8" s="2" t="s">
        <v>33</v>
      </c>
      <c r="L8" s="2" t="s">
        <v>33</v>
      </c>
      <c r="M8" s="2" t="s">
        <v>33</v>
      </c>
      <c r="N8" s="2" t="s">
        <v>33</v>
      </c>
      <c r="O8" s="2" t="s">
        <v>33</v>
      </c>
      <c r="Q8" s="2" t="s">
        <v>52</v>
      </c>
      <c r="R8" s="2" t="s">
        <v>52</v>
      </c>
      <c r="S8" s="2" t="s">
        <v>44</v>
      </c>
      <c r="T8" s="2" t="s">
        <v>62</v>
      </c>
      <c r="U8" s="2" t="s">
        <v>45</v>
      </c>
      <c r="V8" s="2" t="s">
        <v>37</v>
      </c>
      <c r="W8" s="2" t="s">
        <v>63</v>
      </c>
      <c r="X8" s="2" t="s">
        <v>64</v>
      </c>
      <c r="Y8" s="2" t="s">
        <v>65</v>
      </c>
      <c r="AA8" s="3"/>
    </row>
    <row r="9" ht="14.25" customHeight="1">
      <c r="A9" s="2">
        <v>7.0</v>
      </c>
      <c r="B9" s="3">
        <v>45621.3334953704</v>
      </c>
      <c r="C9" s="3">
        <v>45621.335</v>
      </c>
      <c r="D9" s="2" t="s">
        <v>25</v>
      </c>
      <c r="E9" s="2" t="s">
        <v>26</v>
      </c>
      <c r="F9" s="2" t="s">
        <v>49</v>
      </c>
      <c r="G9" s="2" t="s">
        <v>28</v>
      </c>
      <c r="H9" s="2" t="s">
        <v>29</v>
      </c>
      <c r="I9" s="2" t="s">
        <v>66</v>
      </c>
      <c r="J9" s="2" t="s">
        <v>51</v>
      </c>
      <c r="K9" s="2" t="s">
        <v>33</v>
      </c>
      <c r="L9" s="2" t="s">
        <v>52</v>
      </c>
      <c r="M9" s="2" t="s">
        <v>33</v>
      </c>
      <c r="N9" s="2" t="s">
        <v>33</v>
      </c>
      <c r="O9" s="2" t="s">
        <v>32</v>
      </c>
      <c r="P9" s="2" t="s">
        <v>33</v>
      </c>
      <c r="Q9" s="2" t="s">
        <v>33</v>
      </c>
      <c r="R9" s="2" t="s">
        <v>52</v>
      </c>
      <c r="S9" s="2" t="s">
        <v>44</v>
      </c>
      <c r="T9" s="2" t="s">
        <v>62</v>
      </c>
      <c r="U9" s="2" t="s">
        <v>45</v>
      </c>
      <c r="V9" s="2" t="s">
        <v>37</v>
      </c>
      <c r="W9" s="2" t="s">
        <v>38</v>
      </c>
      <c r="X9" s="2" t="s">
        <v>67</v>
      </c>
      <c r="Y9" s="2" t="s">
        <v>54</v>
      </c>
      <c r="AA9" s="3"/>
    </row>
    <row r="10" ht="14.25" customHeight="1">
      <c r="A10" s="2">
        <v>8.0</v>
      </c>
      <c r="B10" s="3">
        <v>45621.3464236111</v>
      </c>
      <c r="C10" s="3">
        <v>45621.3478009259</v>
      </c>
      <c r="D10" s="2" t="s">
        <v>25</v>
      </c>
      <c r="E10" s="2" t="s">
        <v>41</v>
      </c>
      <c r="F10" s="2" t="s">
        <v>49</v>
      </c>
      <c r="G10" s="2" t="s">
        <v>28</v>
      </c>
      <c r="H10" s="2" t="s">
        <v>29</v>
      </c>
      <c r="I10" s="2" t="s">
        <v>68</v>
      </c>
      <c r="J10" s="2" t="s">
        <v>51</v>
      </c>
      <c r="K10" s="2" t="s">
        <v>33</v>
      </c>
      <c r="L10" s="2" t="s">
        <v>33</v>
      </c>
      <c r="M10" s="2" t="s">
        <v>33</v>
      </c>
      <c r="N10" s="2" t="s">
        <v>52</v>
      </c>
      <c r="O10" s="2" t="s">
        <v>33</v>
      </c>
      <c r="P10" s="2" t="s">
        <v>33</v>
      </c>
      <c r="Q10" s="2" t="s">
        <v>52</v>
      </c>
      <c r="R10" s="2" t="s">
        <v>52</v>
      </c>
      <c r="S10" s="2" t="s">
        <v>69</v>
      </c>
      <c r="T10" s="2" t="s">
        <v>70</v>
      </c>
      <c r="U10" s="2" t="s">
        <v>36</v>
      </c>
      <c r="V10" s="2" t="s">
        <v>37</v>
      </c>
      <c r="W10" s="2" t="s">
        <v>38</v>
      </c>
      <c r="Y10" s="2" t="s">
        <v>54</v>
      </c>
      <c r="AA10" s="3"/>
    </row>
    <row r="11" ht="14.25" customHeight="1">
      <c r="A11" s="2">
        <v>9.0</v>
      </c>
      <c r="B11" s="3">
        <v>45621.3488657407</v>
      </c>
      <c r="C11" s="3">
        <v>45621.3502314815</v>
      </c>
      <c r="D11" s="2" t="s">
        <v>25</v>
      </c>
      <c r="E11" s="2" t="s">
        <v>41</v>
      </c>
      <c r="F11" s="2" t="s">
        <v>49</v>
      </c>
      <c r="G11" s="2" t="s">
        <v>28</v>
      </c>
      <c r="H11" s="2" t="s">
        <v>29</v>
      </c>
      <c r="I11" s="2" t="s">
        <v>60</v>
      </c>
      <c r="J11" s="2" t="s">
        <v>51</v>
      </c>
      <c r="K11" s="2" t="s">
        <v>32</v>
      </c>
      <c r="L11" s="2" t="s">
        <v>33</v>
      </c>
      <c r="M11" s="2" t="s">
        <v>33</v>
      </c>
      <c r="N11" s="2" t="s">
        <v>33</v>
      </c>
      <c r="O11" s="2" t="s">
        <v>33</v>
      </c>
      <c r="P11" s="2" t="s">
        <v>33</v>
      </c>
      <c r="Q11" s="2" t="s">
        <v>33</v>
      </c>
      <c r="R11" s="2" t="s">
        <v>52</v>
      </c>
      <c r="S11" s="2" t="s">
        <v>44</v>
      </c>
      <c r="T11" s="2" t="s">
        <v>35</v>
      </c>
      <c r="U11" s="2" t="s">
        <v>45</v>
      </c>
      <c r="V11" s="2" t="s">
        <v>46</v>
      </c>
      <c r="W11" s="2" t="s">
        <v>38</v>
      </c>
      <c r="X11" s="2" t="s">
        <v>71</v>
      </c>
      <c r="Y11" s="2" t="s">
        <v>54</v>
      </c>
      <c r="AA11" s="3"/>
    </row>
    <row r="12" ht="14.25" customHeight="1">
      <c r="A12" s="2">
        <v>10.0</v>
      </c>
      <c r="B12" s="3">
        <v>45621.3497453704</v>
      </c>
      <c r="C12" s="3">
        <v>45621.3510185185</v>
      </c>
      <c r="D12" s="2" t="s">
        <v>25</v>
      </c>
      <c r="E12" s="2" t="s">
        <v>41</v>
      </c>
      <c r="F12" s="2" t="s">
        <v>42</v>
      </c>
      <c r="G12" s="2" t="s">
        <v>28</v>
      </c>
      <c r="H12" s="2" t="s">
        <v>29</v>
      </c>
      <c r="I12" s="2" t="s">
        <v>72</v>
      </c>
      <c r="J12" s="2" t="s">
        <v>51</v>
      </c>
      <c r="K12" s="2" t="s">
        <v>33</v>
      </c>
      <c r="L12" s="2" t="s">
        <v>33</v>
      </c>
      <c r="M12" s="2" t="s">
        <v>33</v>
      </c>
      <c r="N12" s="2" t="s">
        <v>52</v>
      </c>
      <c r="O12" s="2" t="s">
        <v>33</v>
      </c>
      <c r="P12" s="2" t="s">
        <v>32</v>
      </c>
      <c r="Q12" s="2" t="s">
        <v>33</v>
      </c>
      <c r="R12" s="2" t="s">
        <v>31</v>
      </c>
      <c r="S12" s="2" t="s">
        <v>44</v>
      </c>
      <c r="T12" s="2" t="s">
        <v>35</v>
      </c>
      <c r="U12" s="2" t="s">
        <v>45</v>
      </c>
      <c r="V12" s="2" t="s">
        <v>37</v>
      </c>
      <c r="W12" s="2" t="s">
        <v>38</v>
      </c>
      <c r="X12" s="2" t="s">
        <v>73</v>
      </c>
      <c r="Y12" s="2" t="s">
        <v>48</v>
      </c>
      <c r="AA12" s="3"/>
    </row>
    <row r="13" ht="14.25" customHeight="1">
      <c r="A13" s="2">
        <v>11.0</v>
      </c>
      <c r="B13" s="3">
        <v>45621.3490509259</v>
      </c>
      <c r="C13" s="3">
        <v>45621.3515393518</v>
      </c>
      <c r="D13" s="2" t="s">
        <v>25</v>
      </c>
      <c r="E13" s="2" t="s">
        <v>41</v>
      </c>
      <c r="F13" s="2" t="s">
        <v>49</v>
      </c>
      <c r="G13" s="2" t="s">
        <v>28</v>
      </c>
      <c r="H13" s="2" t="s">
        <v>29</v>
      </c>
      <c r="I13" s="2" t="s">
        <v>43</v>
      </c>
      <c r="J13" s="2" t="s">
        <v>51</v>
      </c>
      <c r="K13" s="2" t="s">
        <v>33</v>
      </c>
      <c r="L13" s="2" t="s">
        <v>33</v>
      </c>
      <c r="M13" s="2" t="s">
        <v>33</v>
      </c>
      <c r="N13" s="2" t="s">
        <v>33</v>
      </c>
      <c r="O13" s="2" t="s">
        <v>33</v>
      </c>
      <c r="P13" s="2" t="s">
        <v>33</v>
      </c>
      <c r="Q13" s="2" t="s">
        <v>33</v>
      </c>
      <c r="R13" s="2" t="s">
        <v>52</v>
      </c>
      <c r="S13" s="2" t="s">
        <v>44</v>
      </c>
      <c r="T13" s="2" t="s">
        <v>35</v>
      </c>
      <c r="U13" s="2" t="s">
        <v>45</v>
      </c>
      <c r="V13" s="2" t="s">
        <v>37</v>
      </c>
      <c r="W13" s="2" t="s">
        <v>63</v>
      </c>
      <c r="Y13" s="2" t="s">
        <v>74</v>
      </c>
      <c r="AA13" s="3"/>
    </row>
    <row r="14" ht="14.25" customHeight="1">
      <c r="A14" s="2">
        <v>12.0</v>
      </c>
      <c r="B14" s="3">
        <v>45621.3514930556</v>
      </c>
      <c r="C14" s="3">
        <v>45621.3525</v>
      </c>
      <c r="D14" s="2" t="s">
        <v>25</v>
      </c>
      <c r="E14" s="2" t="s">
        <v>41</v>
      </c>
      <c r="F14" s="2" t="s">
        <v>49</v>
      </c>
      <c r="G14" s="2" t="s">
        <v>28</v>
      </c>
      <c r="H14" s="2" t="s">
        <v>29</v>
      </c>
      <c r="I14" s="2" t="s">
        <v>50</v>
      </c>
      <c r="J14" s="2" t="s">
        <v>51</v>
      </c>
      <c r="K14" s="2" t="s">
        <v>33</v>
      </c>
      <c r="L14" s="2" t="s">
        <v>33</v>
      </c>
      <c r="M14" s="2" t="s">
        <v>33</v>
      </c>
      <c r="N14" s="2" t="s">
        <v>33</v>
      </c>
      <c r="O14" s="2" t="s">
        <v>33</v>
      </c>
      <c r="P14" s="2" t="s">
        <v>33</v>
      </c>
      <c r="Q14" s="2" t="s">
        <v>52</v>
      </c>
      <c r="R14" s="2" t="s">
        <v>52</v>
      </c>
      <c r="S14" s="2" t="s">
        <v>44</v>
      </c>
      <c r="T14" s="2" t="s">
        <v>35</v>
      </c>
      <c r="U14" s="2" t="s">
        <v>45</v>
      </c>
      <c r="V14" s="2" t="s">
        <v>37</v>
      </c>
      <c r="W14" s="2" t="s">
        <v>38</v>
      </c>
      <c r="X14" s="2" t="s">
        <v>75</v>
      </c>
      <c r="Y14" s="2" t="s">
        <v>48</v>
      </c>
      <c r="AA14" s="3"/>
    </row>
    <row r="15" ht="14.25" customHeight="1">
      <c r="A15" s="2">
        <v>13.0</v>
      </c>
      <c r="B15" s="3">
        <v>45621.3526157407</v>
      </c>
      <c r="C15" s="3">
        <v>45621.3546296296</v>
      </c>
      <c r="D15" s="2" t="s">
        <v>25</v>
      </c>
      <c r="E15" s="2" t="s">
        <v>26</v>
      </c>
      <c r="F15" s="2" t="s">
        <v>42</v>
      </c>
      <c r="G15" s="2" t="s">
        <v>28</v>
      </c>
      <c r="H15" s="2" t="s">
        <v>29</v>
      </c>
      <c r="I15" s="2" t="s">
        <v>50</v>
      </c>
      <c r="J15" s="2" t="s">
        <v>51</v>
      </c>
      <c r="K15" s="2" t="s">
        <v>33</v>
      </c>
      <c r="L15" s="2" t="s">
        <v>33</v>
      </c>
      <c r="M15" s="2" t="s">
        <v>33</v>
      </c>
      <c r="N15" s="2" t="s">
        <v>33</v>
      </c>
      <c r="O15" s="2" t="s">
        <v>33</v>
      </c>
      <c r="P15" s="2" t="s">
        <v>33</v>
      </c>
      <c r="Q15" s="2" t="s">
        <v>33</v>
      </c>
      <c r="R15" s="2" t="s">
        <v>31</v>
      </c>
      <c r="S15" s="2" t="s">
        <v>44</v>
      </c>
      <c r="T15" s="2" t="s">
        <v>35</v>
      </c>
      <c r="U15" s="2" t="s">
        <v>36</v>
      </c>
      <c r="V15" s="2" t="s">
        <v>37</v>
      </c>
      <c r="W15" s="2" t="s">
        <v>38</v>
      </c>
      <c r="X15" s="2" t="s">
        <v>76</v>
      </c>
      <c r="Y15" s="2" t="s">
        <v>48</v>
      </c>
      <c r="AA15" s="3"/>
    </row>
    <row r="16" ht="14.25" customHeight="1">
      <c r="A16" s="2">
        <v>14.0</v>
      </c>
      <c r="B16" s="3">
        <v>45621.3618518518</v>
      </c>
      <c r="C16" s="3">
        <v>45621.3637268519</v>
      </c>
      <c r="D16" s="2" t="s">
        <v>25</v>
      </c>
      <c r="E16" s="2" t="s">
        <v>41</v>
      </c>
      <c r="F16" s="2" t="s">
        <v>77</v>
      </c>
      <c r="G16" s="2" t="s">
        <v>28</v>
      </c>
      <c r="H16" s="2" t="s">
        <v>29</v>
      </c>
      <c r="I16" s="2" t="s">
        <v>60</v>
      </c>
      <c r="J16" s="2" t="s">
        <v>31</v>
      </c>
      <c r="K16" s="2" t="s">
        <v>33</v>
      </c>
      <c r="L16" s="2" t="s">
        <v>33</v>
      </c>
      <c r="M16" s="2" t="s">
        <v>33</v>
      </c>
      <c r="N16" s="2" t="s">
        <v>33</v>
      </c>
      <c r="O16" s="2" t="s">
        <v>33</v>
      </c>
      <c r="P16" s="2" t="s">
        <v>33</v>
      </c>
      <c r="Q16" s="2" t="s">
        <v>33</v>
      </c>
      <c r="R16" s="2" t="s">
        <v>52</v>
      </c>
      <c r="S16" s="2" t="s">
        <v>44</v>
      </c>
      <c r="T16" s="2" t="s">
        <v>35</v>
      </c>
      <c r="U16" s="2" t="s">
        <v>36</v>
      </c>
      <c r="V16" s="2" t="s">
        <v>37</v>
      </c>
      <c r="W16" s="2" t="s">
        <v>38</v>
      </c>
      <c r="X16" s="2" t="s">
        <v>78</v>
      </c>
      <c r="Y16" s="2" t="s">
        <v>54</v>
      </c>
      <c r="AA16" s="3"/>
    </row>
    <row r="17" ht="14.25" customHeight="1">
      <c r="A17" s="2">
        <v>15.0</v>
      </c>
      <c r="B17" s="3">
        <v>45621.3619560185</v>
      </c>
      <c r="C17" s="3">
        <v>45621.363900463</v>
      </c>
      <c r="D17" s="2" t="s">
        <v>25</v>
      </c>
      <c r="E17" s="2" t="s">
        <v>26</v>
      </c>
      <c r="F17" s="2" t="s">
        <v>77</v>
      </c>
      <c r="G17" s="2" t="s">
        <v>28</v>
      </c>
      <c r="H17" s="2" t="s">
        <v>29</v>
      </c>
      <c r="I17" s="2" t="s">
        <v>60</v>
      </c>
      <c r="J17" s="2" t="s">
        <v>51</v>
      </c>
      <c r="K17" s="2" t="s">
        <v>32</v>
      </c>
      <c r="L17" s="2" t="s">
        <v>32</v>
      </c>
      <c r="M17" s="2" t="s">
        <v>32</v>
      </c>
      <c r="N17" s="2" t="s">
        <v>32</v>
      </c>
      <c r="O17" s="2" t="s">
        <v>32</v>
      </c>
      <c r="P17" s="2" t="s">
        <v>32</v>
      </c>
      <c r="Q17" s="2" t="s">
        <v>32</v>
      </c>
      <c r="R17" s="2" t="s">
        <v>31</v>
      </c>
      <c r="S17" s="2" t="s">
        <v>44</v>
      </c>
      <c r="T17" s="2" t="s">
        <v>62</v>
      </c>
      <c r="U17" s="2" t="s">
        <v>45</v>
      </c>
      <c r="V17" s="2" t="s">
        <v>37</v>
      </c>
      <c r="W17" s="2" t="s">
        <v>38</v>
      </c>
      <c r="X17" s="2" t="s">
        <v>58</v>
      </c>
      <c r="Y17" s="2" t="s">
        <v>54</v>
      </c>
      <c r="AA17" s="3"/>
    </row>
    <row r="18" ht="14.25" customHeight="1">
      <c r="A18" s="2">
        <v>16.0</v>
      </c>
      <c r="B18" s="3">
        <v>45621.3626388889</v>
      </c>
      <c r="C18" s="3">
        <v>45621.3644097222</v>
      </c>
      <c r="D18" s="2" t="s">
        <v>25</v>
      </c>
      <c r="E18" s="2" t="s">
        <v>41</v>
      </c>
      <c r="F18" s="2" t="s">
        <v>77</v>
      </c>
      <c r="G18" s="2" t="s">
        <v>28</v>
      </c>
      <c r="H18" s="2" t="s">
        <v>29</v>
      </c>
      <c r="I18" s="2" t="s">
        <v>79</v>
      </c>
      <c r="J18" s="2" t="s">
        <v>31</v>
      </c>
      <c r="K18" s="2" t="s">
        <v>33</v>
      </c>
      <c r="L18" s="2" t="s">
        <v>33</v>
      </c>
      <c r="M18" s="2" t="s">
        <v>33</v>
      </c>
      <c r="N18" s="2" t="s">
        <v>33</v>
      </c>
      <c r="O18" s="2" t="s">
        <v>33</v>
      </c>
      <c r="P18" s="2" t="s">
        <v>33</v>
      </c>
      <c r="Q18" s="2" t="s">
        <v>52</v>
      </c>
      <c r="R18" s="2" t="s">
        <v>52</v>
      </c>
      <c r="S18" s="2" t="s">
        <v>44</v>
      </c>
      <c r="T18" s="2" t="s">
        <v>35</v>
      </c>
      <c r="U18" s="2" t="s">
        <v>45</v>
      </c>
      <c r="V18" s="2" t="s">
        <v>37</v>
      </c>
      <c r="W18" s="2" t="s">
        <v>38</v>
      </c>
      <c r="Y18" s="2" t="s">
        <v>54</v>
      </c>
      <c r="AA18" s="3"/>
    </row>
    <row r="19" ht="14.25" customHeight="1">
      <c r="A19" s="2">
        <v>17.0</v>
      </c>
      <c r="B19" s="3">
        <v>45621.3576157407</v>
      </c>
      <c r="C19" s="3">
        <v>45621.3667013889</v>
      </c>
      <c r="D19" s="2" t="s">
        <v>25</v>
      </c>
      <c r="E19" s="2" t="s">
        <v>26</v>
      </c>
      <c r="F19" s="2" t="s">
        <v>49</v>
      </c>
      <c r="G19" s="2" t="s">
        <v>28</v>
      </c>
      <c r="H19" s="2" t="s">
        <v>29</v>
      </c>
      <c r="I19" s="2" t="s">
        <v>80</v>
      </c>
      <c r="J19" s="2" t="s">
        <v>51</v>
      </c>
      <c r="R19" s="2" t="s">
        <v>52</v>
      </c>
      <c r="S19" s="2" t="s">
        <v>44</v>
      </c>
      <c r="T19" s="2" t="s">
        <v>62</v>
      </c>
      <c r="U19" s="2" t="s">
        <v>36</v>
      </c>
      <c r="V19" s="2" t="s">
        <v>46</v>
      </c>
      <c r="W19" s="2" t="s">
        <v>38</v>
      </c>
      <c r="X19" s="2" t="s">
        <v>81</v>
      </c>
      <c r="Y19" s="2" t="s">
        <v>48</v>
      </c>
      <c r="AA19" s="3"/>
    </row>
    <row r="20" ht="14.25" customHeight="1">
      <c r="A20" s="2">
        <v>18.0</v>
      </c>
      <c r="B20" s="3">
        <v>45621.3681481481</v>
      </c>
      <c r="C20" s="3">
        <v>45621.3695717593</v>
      </c>
      <c r="D20" s="2" t="s">
        <v>25</v>
      </c>
      <c r="E20" s="2" t="s">
        <v>41</v>
      </c>
      <c r="F20" s="2" t="s">
        <v>49</v>
      </c>
      <c r="G20" s="2" t="s">
        <v>28</v>
      </c>
      <c r="H20" s="2" t="s">
        <v>29</v>
      </c>
      <c r="I20" s="2" t="s">
        <v>50</v>
      </c>
      <c r="J20" s="2" t="s">
        <v>31</v>
      </c>
      <c r="K20" s="2" t="s">
        <v>32</v>
      </c>
      <c r="L20" s="2" t="s">
        <v>32</v>
      </c>
      <c r="M20" s="2" t="s">
        <v>32</v>
      </c>
      <c r="N20" s="2" t="s">
        <v>32</v>
      </c>
      <c r="O20" s="2" t="s">
        <v>32</v>
      </c>
      <c r="P20" s="2" t="s">
        <v>32</v>
      </c>
      <c r="Q20" s="2" t="s">
        <v>33</v>
      </c>
      <c r="R20" s="2" t="s">
        <v>31</v>
      </c>
      <c r="S20" s="2" t="s">
        <v>44</v>
      </c>
      <c r="T20" s="2" t="s">
        <v>35</v>
      </c>
      <c r="U20" s="2" t="s">
        <v>45</v>
      </c>
      <c r="V20" s="2" t="s">
        <v>37</v>
      </c>
      <c r="W20" s="2" t="s">
        <v>38</v>
      </c>
      <c r="X20" s="2" t="s">
        <v>82</v>
      </c>
      <c r="Y20" s="2" t="s">
        <v>54</v>
      </c>
      <c r="AA20" s="3"/>
    </row>
    <row r="21" ht="14.25" customHeight="1">
      <c r="A21" s="2">
        <v>19.0</v>
      </c>
      <c r="B21" s="3">
        <v>45621.3693865741</v>
      </c>
      <c r="C21" s="3">
        <v>45621.3716319444</v>
      </c>
      <c r="D21" s="2" t="s">
        <v>25</v>
      </c>
      <c r="E21" s="2" t="s">
        <v>41</v>
      </c>
      <c r="F21" s="2" t="s">
        <v>49</v>
      </c>
      <c r="G21" s="2" t="s">
        <v>28</v>
      </c>
      <c r="H21" s="2" t="s">
        <v>29</v>
      </c>
      <c r="I21" s="2" t="s">
        <v>50</v>
      </c>
      <c r="J21" s="2" t="s">
        <v>51</v>
      </c>
      <c r="K21" s="2" t="s">
        <v>32</v>
      </c>
      <c r="L21" s="2" t="s">
        <v>32</v>
      </c>
      <c r="M21" s="2" t="s">
        <v>52</v>
      </c>
      <c r="N21" s="2" t="s">
        <v>32</v>
      </c>
      <c r="O21" s="2" t="s">
        <v>32</v>
      </c>
      <c r="P21" s="2" t="s">
        <v>32</v>
      </c>
      <c r="Q21" s="2" t="s">
        <v>33</v>
      </c>
      <c r="R21" s="2" t="s">
        <v>31</v>
      </c>
      <c r="S21" s="2" t="s">
        <v>44</v>
      </c>
      <c r="T21" s="2" t="s">
        <v>35</v>
      </c>
      <c r="U21" s="2" t="s">
        <v>45</v>
      </c>
      <c r="V21" s="2" t="s">
        <v>37</v>
      </c>
      <c r="W21" s="2" t="s">
        <v>63</v>
      </c>
      <c r="X21" s="2" t="s">
        <v>81</v>
      </c>
      <c r="Y21" s="2" t="s">
        <v>54</v>
      </c>
      <c r="AA21" s="3"/>
    </row>
    <row r="22" ht="14.25" customHeight="1">
      <c r="A22" s="2">
        <v>20.0</v>
      </c>
      <c r="B22" s="3">
        <v>45621.3758912037</v>
      </c>
      <c r="C22" s="3">
        <v>45621.3776041667</v>
      </c>
      <c r="D22" s="2" t="s">
        <v>25</v>
      </c>
      <c r="E22" s="2" t="s">
        <v>41</v>
      </c>
      <c r="F22" s="2" t="s">
        <v>49</v>
      </c>
      <c r="G22" s="2" t="s">
        <v>28</v>
      </c>
      <c r="H22" s="2" t="s">
        <v>29</v>
      </c>
      <c r="I22" s="2" t="s">
        <v>66</v>
      </c>
      <c r="J22" s="2" t="s">
        <v>51</v>
      </c>
      <c r="K22" s="2" t="s">
        <v>33</v>
      </c>
      <c r="L22" s="2" t="s">
        <v>52</v>
      </c>
      <c r="M22" s="2" t="s">
        <v>31</v>
      </c>
      <c r="N22" s="2" t="s">
        <v>33</v>
      </c>
      <c r="O22" s="2" t="s">
        <v>33</v>
      </c>
      <c r="P22" s="2" t="s">
        <v>33</v>
      </c>
      <c r="Q22" s="2" t="s">
        <v>33</v>
      </c>
      <c r="R22" s="2" t="s">
        <v>33</v>
      </c>
      <c r="S22" s="2" t="s">
        <v>44</v>
      </c>
      <c r="T22" s="2" t="s">
        <v>35</v>
      </c>
      <c r="U22" s="2" t="s">
        <v>36</v>
      </c>
      <c r="V22" s="2" t="s">
        <v>46</v>
      </c>
      <c r="W22" s="2" t="s">
        <v>63</v>
      </c>
      <c r="Y22" s="2" t="s">
        <v>48</v>
      </c>
      <c r="AA22" s="3"/>
    </row>
    <row r="23" ht="14.25" customHeight="1">
      <c r="A23" s="2">
        <v>21.0</v>
      </c>
      <c r="B23" s="3">
        <v>45621.3794444444</v>
      </c>
      <c r="C23" s="3">
        <v>45621.3815509259</v>
      </c>
      <c r="D23" s="2" t="s">
        <v>25</v>
      </c>
      <c r="E23" s="2" t="s">
        <v>41</v>
      </c>
      <c r="F23" s="2" t="s">
        <v>49</v>
      </c>
      <c r="G23" s="2" t="s">
        <v>28</v>
      </c>
      <c r="H23" s="2" t="s">
        <v>29</v>
      </c>
      <c r="I23" s="2" t="s">
        <v>83</v>
      </c>
      <c r="J23" s="2" t="s">
        <v>51</v>
      </c>
      <c r="K23" s="2" t="s">
        <v>33</v>
      </c>
      <c r="L23" s="2" t="s">
        <v>33</v>
      </c>
      <c r="M23" s="2" t="s">
        <v>33</v>
      </c>
      <c r="N23" s="2" t="s">
        <v>33</v>
      </c>
      <c r="O23" s="2" t="s">
        <v>33</v>
      </c>
      <c r="P23" s="2" t="s">
        <v>33</v>
      </c>
      <c r="Q23" s="2" t="s">
        <v>33</v>
      </c>
      <c r="R23" s="2" t="s">
        <v>31</v>
      </c>
      <c r="S23" s="2" t="s">
        <v>44</v>
      </c>
      <c r="T23" s="2" t="s">
        <v>35</v>
      </c>
      <c r="U23" s="2" t="s">
        <v>36</v>
      </c>
      <c r="V23" s="2" t="s">
        <v>46</v>
      </c>
      <c r="W23" s="2" t="s">
        <v>63</v>
      </c>
      <c r="X23" s="2" t="s">
        <v>81</v>
      </c>
      <c r="Y23" s="2" t="s">
        <v>40</v>
      </c>
      <c r="AA23" s="3"/>
    </row>
    <row r="24" ht="14.25" customHeight="1">
      <c r="A24" s="2">
        <v>22.0</v>
      </c>
      <c r="B24" s="3">
        <v>45621.3833217593</v>
      </c>
      <c r="C24" s="3">
        <v>45621.3861458333</v>
      </c>
      <c r="D24" s="2" t="s">
        <v>25</v>
      </c>
      <c r="E24" s="2" t="s">
        <v>26</v>
      </c>
      <c r="F24" s="2" t="s">
        <v>49</v>
      </c>
      <c r="G24" s="2" t="s">
        <v>28</v>
      </c>
      <c r="H24" s="2" t="s">
        <v>29</v>
      </c>
      <c r="I24" s="2" t="s">
        <v>84</v>
      </c>
      <c r="J24" s="2" t="s">
        <v>31</v>
      </c>
      <c r="S24" s="2" t="s">
        <v>44</v>
      </c>
      <c r="T24" s="2" t="s">
        <v>62</v>
      </c>
      <c r="U24" s="2" t="s">
        <v>45</v>
      </c>
      <c r="V24" s="2" t="s">
        <v>37</v>
      </c>
      <c r="W24" s="2" t="s">
        <v>38</v>
      </c>
      <c r="X24" s="2" t="s">
        <v>67</v>
      </c>
      <c r="Y24" s="2" t="s">
        <v>48</v>
      </c>
      <c r="AA24" s="3"/>
    </row>
    <row r="25" ht="14.25" customHeight="1">
      <c r="A25" s="2">
        <v>23.0</v>
      </c>
      <c r="B25" s="3">
        <v>45621.3873611111</v>
      </c>
      <c r="C25" s="3">
        <v>45621.3897685185</v>
      </c>
      <c r="D25" s="2" t="s">
        <v>25</v>
      </c>
      <c r="E25" s="2" t="s">
        <v>26</v>
      </c>
      <c r="F25" s="2" t="s">
        <v>85</v>
      </c>
      <c r="G25" s="2" t="s">
        <v>28</v>
      </c>
      <c r="H25" s="2" t="s">
        <v>29</v>
      </c>
      <c r="I25" s="2" t="s">
        <v>86</v>
      </c>
      <c r="J25" s="2" t="s">
        <v>51</v>
      </c>
      <c r="K25" s="2" t="s">
        <v>32</v>
      </c>
      <c r="L25" s="2" t="s">
        <v>32</v>
      </c>
      <c r="M25" s="2" t="s">
        <v>32</v>
      </c>
      <c r="N25" s="2" t="s">
        <v>32</v>
      </c>
      <c r="O25" s="2" t="s">
        <v>32</v>
      </c>
      <c r="P25" s="2" t="s">
        <v>32</v>
      </c>
      <c r="Q25" s="2" t="s">
        <v>52</v>
      </c>
      <c r="R25" s="2" t="s">
        <v>31</v>
      </c>
      <c r="S25" s="2" t="s">
        <v>44</v>
      </c>
      <c r="T25" s="2" t="s">
        <v>35</v>
      </c>
      <c r="U25" s="2" t="s">
        <v>45</v>
      </c>
      <c r="V25" s="2" t="s">
        <v>57</v>
      </c>
      <c r="W25" s="2" t="s">
        <v>63</v>
      </c>
      <c r="X25" s="2" t="s">
        <v>81</v>
      </c>
      <c r="Y25" s="2" t="s">
        <v>48</v>
      </c>
      <c r="AA25" s="3"/>
    </row>
    <row r="26" ht="14.25" customHeight="1">
      <c r="A26" s="2">
        <v>24.0</v>
      </c>
      <c r="B26" s="3">
        <v>45621.4017013889</v>
      </c>
      <c r="C26" s="3">
        <v>45621.4034606481</v>
      </c>
      <c r="D26" s="2" t="s">
        <v>25</v>
      </c>
      <c r="E26" s="2" t="s">
        <v>26</v>
      </c>
      <c r="F26" s="2" t="s">
        <v>42</v>
      </c>
      <c r="G26" s="2" t="s">
        <v>28</v>
      </c>
      <c r="H26" s="2" t="s">
        <v>29</v>
      </c>
      <c r="I26" s="2" t="s">
        <v>87</v>
      </c>
      <c r="J26" s="2" t="s">
        <v>31</v>
      </c>
      <c r="K26" s="2" t="s">
        <v>33</v>
      </c>
      <c r="L26" s="2" t="s">
        <v>33</v>
      </c>
      <c r="M26" s="2" t="s">
        <v>33</v>
      </c>
      <c r="N26" s="2" t="s">
        <v>33</v>
      </c>
      <c r="O26" s="2" t="s">
        <v>33</v>
      </c>
      <c r="P26" s="2" t="s">
        <v>33</v>
      </c>
      <c r="R26" s="2" t="s">
        <v>31</v>
      </c>
      <c r="S26" s="2" t="s">
        <v>44</v>
      </c>
      <c r="T26" s="2" t="s">
        <v>35</v>
      </c>
      <c r="U26" s="2" t="s">
        <v>45</v>
      </c>
      <c r="V26" s="2" t="s">
        <v>46</v>
      </c>
      <c r="W26" s="2" t="s">
        <v>63</v>
      </c>
      <c r="X26" s="2" t="s">
        <v>88</v>
      </c>
      <c r="Y26" s="2" t="s">
        <v>48</v>
      </c>
      <c r="AA26" s="3"/>
    </row>
    <row r="27" ht="14.25" customHeight="1">
      <c r="A27" s="2">
        <v>25.0</v>
      </c>
      <c r="B27" s="3">
        <v>45621.403900463</v>
      </c>
      <c r="C27" s="3">
        <v>45621.4048842593</v>
      </c>
      <c r="D27" s="2" t="s">
        <v>25</v>
      </c>
      <c r="E27" s="2" t="s">
        <v>26</v>
      </c>
      <c r="F27" s="2" t="s">
        <v>49</v>
      </c>
      <c r="G27" s="2" t="s">
        <v>28</v>
      </c>
      <c r="H27" s="2" t="s">
        <v>29</v>
      </c>
      <c r="I27" s="2" t="s">
        <v>68</v>
      </c>
      <c r="J27" s="2" t="s">
        <v>51</v>
      </c>
      <c r="K27" s="2" t="s">
        <v>33</v>
      </c>
      <c r="L27" s="2" t="s">
        <v>52</v>
      </c>
      <c r="M27" s="2" t="s">
        <v>33</v>
      </c>
      <c r="N27" s="2" t="s">
        <v>33</v>
      </c>
      <c r="P27" s="2" t="s">
        <v>33</v>
      </c>
      <c r="Q27" s="2" t="s">
        <v>33</v>
      </c>
      <c r="R27" s="2" t="s">
        <v>52</v>
      </c>
      <c r="S27" s="2" t="s">
        <v>69</v>
      </c>
      <c r="T27" s="2" t="s">
        <v>35</v>
      </c>
      <c r="U27" s="2" t="s">
        <v>36</v>
      </c>
      <c r="V27" s="2" t="s">
        <v>37</v>
      </c>
      <c r="W27" s="2" t="s">
        <v>63</v>
      </c>
      <c r="X27" s="2" t="s">
        <v>89</v>
      </c>
      <c r="Y27" s="2" t="s">
        <v>54</v>
      </c>
      <c r="AA27" s="3"/>
    </row>
    <row r="28" ht="14.25" customHeight="1">
      <c r="A28" s="2">
        <v>26.0</v>
      </c>
      <c r="B28" s="3">
        <v>45621.4245717593</v>
      </c>
      <c r="C28" s="3">
        <v>45621.4269097222</v>
      </c>
      <c r="D28" s="2" t="s">
        <v>25</v>
      </c>
      <c r="E28" s="2" t="s">
        <v>41</v>
      </c>
      <c r="F28" s="2" t="s">
        <v>77</v>
      </c>
      <c r="G28" s="2" t="s">
        <v>28</v>
      </c>
      <c r="H28" s="2" t="s">
        <v>29</v>
      </c>
      <c r="I28" s="2" t="s">
        <v>90</v>
      </c>
      <c r="J28" s="2" t="s">
        <v>31</v>
      </c>
      <c r="S28" s="2" t="s">
        <v>44</v>
      </c>
      <c r="T28" s="2" t="s">
        <v>91</v>
      </c>
      <c r="U28" s="2" t="s">
        <v>45</v>
      </c>
      <c r="V28" s="2" t="s">
        <v>92</v>
      </c>
      <c r="W28" s="2" t="s">
        <v>63</v>
      </c>
      <c r="X28" s="2" t="s">
        <v>78</v>
      </c>
      <c r="Y28" s="2" t="s">
        <v>54</v>
      </c>
      <c r="AA28" s="3"/>
    </row>
    <row r="29" ht="14.25" customHeight="1">
      <c r="A29" s="2">
        <v>27.0</v>
      </c>
      <c r="B29" s="3">
        <v>45621.4347569444</v>
      </c>
      <c r="C29" s="3">
        <v>45621.4363541667</v>
      </c>
      <c r="D29" s="2" t="s">
        <v>25</v>
      </c>
      <c r="E29" s="2" t="s">
        <v>41</v>
      </c>
      <c r="F29" s="2" t="s">
        <v>49</v>
      </c>
      <c r="G29" s="2" t="s">
        <v>28</v>
      </c>
      <c r="H29" s="2" t="s">
        <v>29</v>
      </c>
      <c r="I29" s="2" t="s">
        <v>80</v>
      </c>
      <c r="J29" s="2" t="s">
        <v>51</v>
      </c>
      <c r="K29" s="2" t="s">
        <v>33</v>
      </c>
      <c r="L29" s="2" t="s">
        <v>33</v>
      </c>
      <c r="M29" s="2" t="s">
        <v>33</v>
      </c>
      <c r="N29" s="2" t="s">
        <v>33</v>
      </c>
      <c r="O29" s="2" t="s">
        <v>33</v>
      </c>
      <c r="P29" s="2" t="s">
        <v>33</v>
      </c>
      <c r="Q29" s="2" t="s">
        <v>52</v>
      </c>
      <c r="R29" s="2" t="s">
        <v>31</v>
      </c>
      <c r="S29" s="2" t="s">
        <v>44</v>
      </c>
      <c r="T29" s="2" t="s">
        <v>93</v>
      </c>
      <c r="U29" s="2" t="s">
        <v>36</v>
      </c>
      <c r="V29" s="2" t="s">
        <v>57</v>
      </c>
      <c r="W29" s="2" t="s">
        <v>38</v>
      </c>
      <c r="X29" s="2" t="s">
        <v>94</v>
      </c>
      <c r="Y29" s="2" t="s">
        <v>48</v>
      </c>
      <c r="AA29" s="3"/>
    </row>
    <row r="30" ht="14.25" customHeight="1">
      <c r="A30" s="2">
        <v>28.0</v>
      </c>
      <c r="B30" s="3">
        <v>45621.4422453704</v>
      </c>
      <c r="C30" s="3">
        <v>45621.4436689815</v>
      </c>
      <c r="D30" s="2" t="s">
        <v>25</v>
      </c>
      <c r="E30" s="2" t="s">
        <v>41</v>
      </c>
      <c r="F30" s="2" t="s">
        <v>49</v>
      </c>
      <c r="G30" s="2" t="s">
        <v>28</v>
      </c>
      <c r="H30" s="2" t="s">
        <v>29</v>
      </c>
      <c r="I30" s="2" t="s">
        <v>60</v>
      </c>
      <c r="J30" s="2" t="s">
        <v>51</v>
      </c>
      <c r="Q30" s="2" t="s">
        <v>52</v>
      </c>
      <c r="S30" s="2" t="s">
        <v>44</v>
      </c>
      <c r="T30" s="2" t="s">
        <v>35</v>
      </c>
      <c r="U30" s="2" t="s">
        <v>36</v>
      </c>
      <c r="V30" s="2" t="s">
        <v>37</v>
      </c>
      <c r="W30" s="2" t="s">
        <v>63</v>
      </c>
      <c r="X30" s="2" t="s">
        <v>47</v>
      </c>
      <c r="Y30" s="2" t="s">
        <v>48</v>
      </c>
      <c r="AA30" s="3"/>
    </row>
    <row r="31" ht="14.25" customHeight="1">
      <c r="A31" s="2">
        <v>29.0</v>
      </c>
      <c r="B31" s="3">
        <v>45621.4432523148</v>
      </c>
      <c r="C31" s="3">
        <v>45621.4455671296</v>
      </c>
      <c r="D31" s="2" t="s">
        <v>25</v>
      </c>
      <c r="E31" s="2" t="s">
        <v>41</v>
      </c>
      <c r="F31" s="2" t="s">
        <v>42</v>
      </c>
      <c r="G31" s="2" t="s">
        <v>28</v>
      </c>
      <c r="H31" s="2" t="s">
        <v>29</v>
      </c>
      <c r="I31" s="2" t="s">
        <v>95</v>
      </c>
      <c r="J31" s="2" t="s">
        <v>51</v>
      </c>
      <c r="K31" s="2" t="s">
        <v>32</v>
      </c>
      <c r="L31" s="2" t="s">
        <v>33</v>
      </c>
      <c r="M31" s="2" t="s">
        <v>32</v>
      </c>
      <c r="N31" s="2" t="s">
        <v>33</v>
      </c>
      <c r="O31" s="2" t="s">
        <v>32</v>
      </c>
      <c r="P31" s="2" t="s">
        <v>32</v>
      </c>
      <c r="Q31" s="2" t="s">
        <v>33</v>
      </c>
      <c r="R31" s="2" t="s">
        <v>33</v>
      </c>
      <c r="S31" s="2" t="s">
        <v>44</v>
      </c>
      <c r="T31" s="2" t="s">
        <v>35</v>
      </c>
      <c r="U31" s="2" t="s">
        <v>45</v>
      </c>
      <c r="V31" s="2" t="s">
        <v>37</v>
      </c>
      <c r="W31" s="2" t="s">
        <v>38</v>
      </c>
      <c r="X31" s="2" t="s">
        <v>67</v>
      </c>
      <c r="Y31" s="2" t="s">
        <v>54</v>
      </c>
      <c r="AA31" s="3"/>
    </row>
    <row r="32" ht="14.25" customHeight="1">
      <c r="A32" s="2">
        <v>30.0</v>
      </c>
      <c r="B32" s="3">
        <v>45621.4485300926</v>
      </c>
      <c r="C32" s="3">
        <v>45621.4502546296</v>
      </c>
      <c r="D32" s="2" t="s">
        <v>25</v>
      </c>
      <c r="E32" s="2" t="s">
        <v>26</v>
      </c>
      <c r="F32" s="2" t="s">
        <v>77</v>
      </c>
      <c r="G32" s="2" t="s">
        <v>28</v>
      </c>
      <c r="H32" s="2" t="s">
        <v>29</v>
      </c>
      <c r="I32" s="2" t="s">
        <v>96</v>
      </c>
      <c r="J32" s="2" t="s">
        <v>31</v>
      </c>
      <c r="K32" s="2" t="s">
        <v>32</v>
      </c>
      <c r="L32" s="2" t="s">
        <v>33</v>
      </c>
      <c r="M32" s="2" t="s">
        <v>32</v>
      </c>
      <c r="N32" s="2" t="s">
        <v>32</v>
      </c>
      <c r="O32" s="2" t="s">
        <v>32</v>
      </c>
      <c r="P32" s="2" t="s">
        <v>32</v>
      </c>
      <c r="Q32" s="2" t="s">
        <v>32</v>
      </c>
      <c r="R32" s="2" t="s">
        <v>52</v>
      </c>
      <c r="S32" s="2" t="s">
        <v>44</v>
      </c>
      <c r="T32" s="2" t="s">
        <v>62</v>
      </c>
      <c r="U32" s="2" t="s">
        <v>45</v>
      </c>
      <c r="V32" s="2" t="s">
        <v>37</v>
      </c>
      <c r="W32" s="2" t="s">
        <v>38</v>
      </c>
      <c r="X32" s="2" t="s">
        <v>97</v>
      </c>
      <c r="Y32" s="2" t="s">
        <v>54</v>
      </c>
      <c r="AA32" s="3"/>
    </row>
    <row r="33" ht="14.25" customHeight="1">
      <c r="A33" s="2">
        <v>31.0</v>
      </c>
      <c r="B33" s="3">
        <v>45621.4620486111</v>
      </c>
      <c r="C33" s="3">
        <v>45621.4635300926</v>
      </c>
      <c r="D33" s="2" t="s">
        <v>25</v>
      </c>
      <c r="E33" s="2" t="s">
        <v>26</v>
      </c>
      <c r="F33" s="2" t="s">
        <v>49</v>
      </c>
      <c r="G33" s="2" t="s">
        <v>28</v>
      </c>
      <c r="H33" s="2" t="s">
        <v>29</v>
      </c>
      <c r="I33" s="2" t="s">
        <v>66</v>
      </c>
      <c r="J33" s="2" t="s">
        <v>51</v>
      </c>
      <c r="K33" s="2" t="s">
        <v>52</v>
      </c>
      <c r="L33" s="2" t="s">
        <v>33</v>
      </c>
      <c r="M33" s="2" t="s">
        <v>33</v>
      </c>
      <c r="N33" s="2" t="s">
        <v>33</v>
      </c>
      <c r="O33" s="2" t="s">
        <v>33</v>
      </c>
      <c r="P33" s="2" t="s">
        <v>33</v>
      </c>
      <c r="Q33" s="2" t="s">
        <v>33</v>
      </c>
      <c r="R33" s="2" t="s">
        <v>52</v>
      </c>
      <c r="S33" s="2" t="s">
        <v>44</v>
      </c>
      <c r="T33" s="2" t="s">
        <v>35</v>
      </c>
      <c r="U33" s="2" t="s">
        <v>45</v>
      </c>
      <c r="V33" s="2" t="s">
        <v>37</v>
      </c>
      <c r="W33" s="2" t="s">
        <v>38</v>
      </c>
      <c r="X33" s="2" t="s">
        <v>98</v>
      </c>
      <c r="Y33" s="2" t="s">
        <v>54</v>
      </c>
      <c r="AA33" s="3"/>
    </row>
    <row r="34" ht="14.25" customHeight="1">
      <c r="A34" s="2">
        <v>32.0</v>
      </c>
      <c r="B34" s="3">
        <v>45621.4755092593</v>
      </c>
      <c r="C34" s="3">
        <v>45621.4788541667</v>
      </c>
      <c r="D34" s="2" t="s">
        <v>25</v>
      </c>
      <c r="E34" s="2" t="s">
        <v>26</v>
      </c>
      <c r="F34" s="2" t="s">
        <v>77</v>
      </c>
      <c r="G34" s="2" t="s">
        <v>28</v>
      </c>
      <c r="H34" s="2" t="s">
        <v>29</v>
      </c>
      <c r="I34" s="2" t="s">
        <v>99</v>
      </c>
      <c r="J34" s="2" t="s">
        <v>31</v>
      </c>
      <c r="S34" s="2" t="s">
        <v>44</v>
      </c>
      <c r="T34" s="2" t="s">
        <v>62</v>
      </c>
      <c r="U34" s="2" t="s">
        <v>36</v>
      </c>
      <c r="V34" s="2" t="s">
        <v>46</v>
      </c>
      <c r="W34" s="2" t="s">
        <v>38</v>
      </c>
      <c r="X34" s="2" t="s">
        <v>100</v>
      </c>
      <c r="Y34" s="2" t="s">
        <v>54</v>
      </c>
      <c r="AA34" s="3"/>
    </row>
    <row r="35" ht="14.25" customHeight="1">
      <c r="A35" s="2">
        <v>33.0</v>
      </c>
      <c r="B35" s="3">
        <v>45621.4712268518</v>
      </c>
      <c r="C35" s="3">
        <v>45621.4805902778</v>
      </c>
      <c r="D35" s="2" t="s">
        <v>25</v>
      </c>
      <c r="E35" s="2" t="s">
        <v>26</v>
      </c>
      <c r="F35" s="2" t="s">
        <v>101</v>
      </c>
      <c r="G35" s="2" t="s">
        <v>28</v>
      </c>
      <c r="H35" s="2" t="s">
        <v>29</v>
      </c>
      <c r="I35" s="2" t="s">
        <v>102</v>
      </c>
      <c r="J35" s="2" t="s">
        <v>51</v>
      </c>
      <c r="K35" s="2" t="s">
        <v>32</v>
      </c>
      <c r="L35" s="2" t="s">
        <v>32</v>
      </c>
      <c r="M35" s="2" t="s">
        <v>32</v>
      </c>
      <c r="N35" s="2" t="s">
        <v>32</v>
      </c>
      <c r="O35" s="2" t="s">
        <v>32</v>
      </c>
      <c r="P35" s="2" t="s">
        <v>32</v>
      </c>
      <c r="Q35" s="2" t="s">
        <v>52</v>
      </c>
      <c r="R35" s="2" t="s">
        <v>31</v>
      </c>
      <c r="S35" s="2" t="s">
        <v>44</v>
      </c>
      <c r="T35" s="2" t="s">
        <v>35</v>
      </c>
      <c r="U35" s="2" t="s">
        <v>45</v>
      </c>
      <c r="V35" s="2" t="s">
        <v>37</v>
      </c>
      <c r="W35" s="2" t="s">
        <v>63</v>
      </c>
      <c r="X35" s="2" t="s">
        <v>53</v>
      </c>
      <c r="Y35" s="2" t="s">
        <v>74</v>
      </c>
      <c r="AA35" s="3"/>
    </row>
    <row r="36" ht="14.25" customHeight="1">
      <c r="A36" s="2">
        <v>34.0</v>
      </c>
      <c r="B36" s="3">
        <v>45621.4782638889</v>
      </c>
      <c r="C36" s="3">
        <v>45621.4837268519</v>
      </c>
      <c r="D36" s="2" t="s">
        <v>25</v>
      </c>
      <c r="E36" s="2" t="s">
        <v>26</v>
      </c>
      <c r="F36" s="2" t="s">
        <v>49</v>
      </c>
      <c r="G36" s="2" t="s">
        <v>28</v>
      </c>
      <c r="H36" s="2" t="s">
        <v>29</v>
      </c>
      <c r="I36" s="2" t="s">
        <v>103</v>
      </c>
      <c r="J36" s="2" t="s">
        <v>51</v>
      </c>
      <c r="K36" s="2" t="s">
        <v>33</v>
      </c>
      <c r="L36" s="2" t="s">
        <v>33</v>
      </c>
      <c r="M36" s="2" t="s">
        <v>33</v>
      </c>
      <c r="N36" s="2" t="s">
        <v>33</v>
      </c>
      <c r="O36" s="2" t="s">
        <v>33</v>
      </c>
      <c r="P36" s="2" t="s">
        <v>33</v>
      </c>
      <c r="Q36" s="2" t="s">
        <v>33</v>
      </c>
      <c r="R36" s="2" t="s">
        <v>52</v>
      </c>
      <c r="S36" s="2" t="s">
        <v>44</v>
      </c>
      <c r="T36" s="2" t="s">
        <v>35</v>
      </c>
      <c r="U36" s="2" t="s">
        <v>36</v>
      </c>
      <c r="V36" s="2" t="s">
        <v>57</v>
      </c>
      <c r="W36" s="2" t="s">
        <v>38</v>
      </c>
      <c r="X36" s="2" t="s">
        <v>81</v>
      </c>
      <c r="Y36" s="2" t="s">
        <v>48</v>
      </c>
      <c r="AA36" s="3"/>
    </row>
    <row r="37" ht="14.25" customHeight="1">
      <c r="A37" s="2">
        <v>35.0</v>
      </c>
      <c r="B37" s="3">
        <v>45621.5254861111</v>
      </c>
      <c r="C37" s="3">
        <v>45621.5270949074</v>
      </c>
      <c r="D37" s="2" t="s">
        <v>25</v>
      </c>
      <c r="E37" s="2" t="s">
        <v>41</v>
      </c>
      <c r="F37" s="2" t="s">
        <v>49</v>
      </c>
      <c r="G37" s="2" t="s">
        <v>28</v>
      </c>
      <c r="H37" s="2" t="s">
        <v>29</v>
      </c>
      <c r="I37" s="2" t="s">
        <v>104</v>
      </c>
      <c r="J37" s="2" t="s">
        <v>31</v>
      </c>
      <c r="K37" s="2" t="s">
        <v>32</v>
      </c>
      <c r="L37" s="2" t="s">
        <v>32</v>
      </c>
      <c r="M37" s="2" t="s">
        <v>32</v>
      </c>
      <c r="N37" s="2" t="s">
        <v>33</v>
      </c>
      <c r="O37" s="2" t="s">
        <v>32</v>
      </c>
      <c r="P37" s="2" t="s">
        <v>32</v>
      </c>
      <c r="Q37" s="2" t="s">
        <v>31</v>
      </c>
      <c r="R37" s="2" t="s">
        <v>52</v>
      </c>
      <c r="S37" s="2" t="s">
        <v>44</v>
      </c>
      <c r="T37" s="2" t="s">
        <v>35</v>
      </c>
      <c r="U37" s="2" t="s">
        <v>36</v>
      </c>
      <c r="V37" s="2" t="s">
        <v>37</v>
      </c>
      <c r="W37" s="2" t="s">
        <v>38</v>
      </c>
      <c r="X37" s="2" t="s">
        <v>98</v>
      </c>
      <c r="Y37" s="2" t="s">
        <v>54</v>
      </c>
      <c r="AA37" s="3"/>
    </row>
    <row r="38" ht="14.25" customHeight="1">
      <c r="A38" s="2">
        <v>36.0</v>
      </c>
      <c r="B38" s="3">
        <v>45621.5546643518</v>
      </c>
      <c r="C38" s="3">
        <v>45621.5563657407</v>
      </c>
      <c r="D38" s="2" t="s">
        <v>25</v>
      </c>
      <c r="E38" s="2" t="s">
        <v>26</v>
      </c>
      <c r="F38" s="2" t="s">
        <v>49</v>
      </c>
      <c r="G38" s="2" t="s">
        <v>28</v>
      </c>
      <c r="H38" s="2" t="s">
        <v>29</v>
      </c>
      <c r="I38" s="2" t="s">
        <v>105</v>
      </c>
      <c r="J38" s="2" t="s">
        <v>51</v>
      </c>
      <c r="K38" s="2" t="s">
        <v>32</v>
      </c>
      <c r="L38" s="2" t="s">
        <v>32</v>
      </c>
      <c r="M38" s="2" t="s">
        <v>32</v>
      </c>
      <c r="N38" s="2" t="s">
        <v>33</v>
      </c>
      <c r="O38" s="2" t="s">
        <v>33</v>
      </c>
      <c r="P38" s="2" t="s">
        <v>32</v>
      </c>
      <c r="Q38" s="2" t="s">
        <v>52</v>
      </c>
      <c r="R38" s="2" t="s">
        <v>52</v>
      </c>
      <c r="S38" s="2" t="s">
        <v>44</v>
      </c>
      <c r="T38" s="2" t="s">
        <v>35</v>
      </c>
      <c r="U38" s="2" t="s">
        <v>45</v>
      </c>
      <c r="V38" s="2" t="s">
        <v>46</v>
      </c>
      <c r="W38" s="2" t="s">
        <v>38</v>
      </c>
      <c r="X38" s="2" t="s">
        <v>106</v>
      </c>
      <c r="Y38" s="2" t="s">
        <v>54</v>
      </c>
      <c r="AA38" s="3"/>
    </row>
    <row r="39" ht="14.25" customHeight="1">
      <c r="A39" s="2">
        <v>37.0</v>
      </c>
      <c r="B39" s="3">
        <v>45621.5603356481</v>
      </c>
      <c r="C39" s="3">
        <v>45621.5622569444</v>
      </c>
      <c r="D39" s="2" t="s">
        <v>25</v>
      </c>
      <c r="E39" s="2" t="s">
        <v>26</v>
      </c>
      <c r="F39" s="2" t="s">
        <v>49</v>
      </c>
      <c r="G39" s="2" t="s">
        <v>28</v>
      </c>
      <c r="H39" s="2" t="s">
        <v>29</v>
      </c>
      <c r="I39" s="2" t="s">
        <v>55</v>
      </c>
      <c r="J39" s="2" t="s">
        <v>51</v>
      </c>
      <c r="R39" s="2" t="s">
        <v>52</v>
      </c>
      <c r="S39" s="2" t="s">
        <v>44</v>
      </c>
      <c r="T39" s="2" t="s">
        <v>35</v>
      </c>
      <c r="U39" s="2" t="s">
        <v>45</v>
      </c>
      <c r="V39" s="2" t="s">
        <v>37</v>
      </c>
      <c r="W39" s="2" t="s">
        <v>63</v>
      </c>
      <c r="X39" s="2" t="s">
        <v>47</v>
      </c>
      <c r="Y39" s="2" t="s">
        <v>54</v>
      </c>
      <c r="AA39" s="3"/>
    </row>
    <row r="40" ht="14.25" customHeight="1">
      <c r="A40" s="2">
        <v>38.0</v>
      </c>
      <c r="B40" s="3">
        <v>45621.5934375</v>
      </c>
      <c r="C40" s="3">
        <v>45621.5947337963</v>
      </c>
      <c r="D40" s="2" t="s">
        <v>25</v>
      </c>
      <c r="E40" s="2" t="s">
        <v>26</v>
      </c>
      <c r="F40" s="2" t="s">
        <v>49</v>
      </c>
      <c r="G40" s="2" t="s">
        <v>28</v>
      </c>
      <c r="H40" s="2" t="s">
        <v>29</v>
      </c>
      <c r="I40" s="2" t="s">
        <v>107</v>
      </c>
      <c r="J40" s="2" t="s">
        <v>51</v>
      </c>
      <c r="S40" s="2" t="s">
        <v>44</v>
      </c>
      <c r="T40" s="2" t="s">
        <v>35</v>
      </c>
      <c r="U40" s="2" t="s">
        <v>45</v>
      </c>
      <c r="V40" s="2" t="s">
        <v>46</v>
      </c>
      <c r="W40" s="2" t="s">
        <v>63</v>
      </c>
      <c r="Y40" s="2" t="s">
        <v>108</v>
      </c>
      <c r="AA40" s="3"/>
    </row>
    <row r="41" ht="14.25" customHeight="1">
      <c r="A41" s="2">
        <v>39.0</v>
      </c>
      <c r="B41" s="3">
        <v>45621.7552777778</v>
      </c>
      <c r="C41" s="3">
        <v>45621.7572337963</v>
      </c>
      <c r="D41" s="2" t="s">
        <v>25</v>
      </c>
      <c r="E41" s="2" t="s">
        <v>26</v>
      </c>
      <c r="F41" s="2" t="s">
        <v>49</v>
      </c>
      <c r="G41" s="2" t="s">
        <v>28</v>
      </c>
      <c r="H41" s="2" t="s">
        <v>29</v>
      </c>
      <c r="I41" s="2" t="s">
        <v>109</v>
      </c>
      <c r="J41" s="2" t="s">
        <v>51</v>
      </c>
      <c r="R41" s="2" t="s">
        <v>52</v>
      </c>
      <c r="S41" s="2" t="s">
        <v>44</v>
      </c>
      <c r="T41" s="2" t="s">
        <v>35</v>
      </c>
      <c r="U41" s="2" t="s">
        <v>36</v>
      </c>
      <c r="V41" s="2" t="s">
        <v>37</v>
      </c>
      <c r="W41" s="2" t="s">
        <v>63</v>
      </c>
      <c r="Y41" s="2" t="s">
        <v>54</v>
      </c>
      <c r="AA41" s="3"/>
    </row>
    <row r="42" ht="14.25" customHeight="1">
      <c r="A42" s="2">
        <v>40.0</v>
      </c>
      <c r="B42" s="3">
        <v>45621.7778125</v>
      </c>
      <c r="C42" s="3">
        <v>45621.7798842593</v>
      </c>
      <c r="D42" s="2" t="s">
        <v>25</v>
      </c>
      <c r="E42" s="2" t="s">
        <v>26</v>
      </c>
      <c r="F42" s="2" t="s">
        <v>49</v>
      </c>
      <c r="G42" s="2" t="s">
        <v>28</v>
      </c>
      <c r="H42" s="2" t="s">
        <v>29</v>
      </c>
      <c r="I42" s="2" t="s">
        <v>66</v>
      </c>
      <c r="J42" s="2" t="s">
        <v>31</v>
      </c>
      <c r="K42" s="2" t="s">
        <v>33</v>
      </c>
      <c r="L42" s="2" t="s">
        <v>33</v>
      </c>
      <c r="M42" s="2" t="s">
        <v>32</v>
      </c>
      <c r="N42" s="2" t="s">
        <v>52</v>
      </c>
      <c r="O42" s="2" t="s">
        <v>33</v>
      </c>
      <c r="P42" s="2" t="s">
        <v>32</v>
      </c>
      <c r="Q42" s="2" t="s">
        <v>33</v>
      </c>
      <c r="R42" s="2" t="s">
        <v>52</v>
      </c>
      <c r="S42" s="2" t="s">
        <v>69</v>
      </c>
      <c r="T42" s="2" t="s">
        <v>35</v>
      </c>
      <c r="U42" s="2" t="s">
        <v>36</v>
      </c>
      <c r="V42" s="2" t="s">
        <v>46</v>
      </c>
      <c r="W42" s="2" t="s">
        <v>38</v>
      </c>
      <c r="X42" s="2" t="s">
        <v>110</v>
      </c>
      <c r="Y42" s="2" t="s">
        <v>48</v>
      </c>
      <c r="AA42" s="3"/>
    </row>
    <row r="43" ht="14.25" customHeight="1">
      <c r="A43" s="2">
        <v>41.0</v>
      </c>
      <c r="B43" s="3">
        <v>45621.791724537</v>
      </c>
      <c r="C43" s="3">
        <v>45621.7928935185</v>
      </c>
      <c r="D43" s="2" t="s">
        <v>25</v>
      </c>
      <c r="E43" s="2" t="s">
        <v>26</v>
      </c>
      <c r="F43" s="2" t="s">
        <v>42</v>
      </c>
      <c r="G43" s="2" t="s">
        <v>28</v>
      </c>
      <c r="H43" s="2" t="s">
        <v>29</v>
      </c>
      <c r="I43" s="2" t="s">
        <v>84</v>
      </c>
      <c r="J43" s="2" t="s">
        <v>51</v>
      </c>
      <c r="S43" s="2" t="s">
        <v>44</v>
      </c>
      <c r="T43" s="2" t="s">
        <v>35</v>
      </c>
      <c r="U43" s="2" t="s">
        <v>45</v>
      </c>
      <c r="V43" s="2" t="s">
        <v>37</v>
      </c>
      <c r="W43" s="2" t="s">
        <v>38</v>
      </c>
      <c r="X43" s="2" t="s">
        <v>47</v>
      </c>
      <c r="Y43" s="2" t="s">
        <v>54</v>
      </c>
      <c r="AA43" s="3"/>
    </row>
    <row r="44" ht="14.25" customHeight="1">
      <c r="A44" s="2">
        <v>42.0</v>
      </c>
      <c r="B44" s="3">
        <v>45621.9089351852</v>
      </c>
      <c r="C44" s="3">
        <v>45621.9102083333</v>
      </c>
      <c r="D44" s="2" t="s">
        <v>25</v>
      </c>
      <c r="E44" s="2" t="s">
        <v>41</v>
      </c>
      <c r="F44" s="2" t="s">
        <v>49</v>
      </c>
      <c r="G44" s="2" t="s">
        <v>28</v>
      </c>
      <c r="H44" s="2" t="s">
        <v>29</v>
      </c>
      <c r="I44" s="2" t="s">
        <v>50</v>
      </c>
      <c r="J44" s="2" t="s">
        <v>31</v>
      </c>
      <c r="K44" s="2" t="s">
        <v>33</v>
      </c>
      <c r="L44" s="2" t="s">
        <v>33</v>
      </c>
      <c r="M44" s="2" t="s">
        <v>33</v>
      </c>
      <c r="N44" s="2" t="s">
        <v>33</v>
      </c>
      <c r="O44" s="2" t="s">
        <v>33</v>
      </c>
      <c r="P44" s="2" t="s">
        <v>33</v>
      </c>
      <c r="Q44" s="2" t="s">
        <v>33</v>
      </c>
      <c r="R44" s="2" t="s">
        <v>52</v>
      </c>
      <c r="S44" s="2" t="s">
        <v>69</v>
      </c>
      <c r="T44" s="2" t="s">
        <v>35</v>
      </c>
      <c r="U44" s="2" t="s">
        <v>36</v>
      </c>
      <c r="V44" s="2" t="s">
        <v>46</v>
      </c>
      <c r="W44" s="2" t="s">
        <v>38</v>
      </c>
      <c r="Y44" s="2" t="s">
        <v>54</v>
      </c>
      <c r="AA44" s="3"/>
    </row>
    <row r="45" ht="14.25" customHeight="1">
      <c r="A45" s="2">
        <v>43.0</v>
      </c>
      <c r="B45" s="3">
        <v>45622.389212963</v>
      </c>
      <c r="C45" s="3">
        <v>45622.3916550926</v>
      </c>
      <c r="D45" s="2" t="s">
        <v>25</v>
      </c>
      <c r="E45" s="2" t="s">
        <v>26</v>
      </c>
      <c r="F45" s="2" t="s">
        <v>49</v>
      </c>
      <c r="G45" s="2" t="s">
        <v>28</v>
      </c>
      <c r="H45" s="2" t="s">
        <v>29</v>
      </c>
      <c r="I45" s="2" t="s">
        <v>43</v>
      </c>
      <c r="J45" s="2" t="s">
        <v>51</v>
      </c>
      <c r="M45" s="2" t="s">
        <v>31</v>
      </c>
      <c r="S45" s="2" t="s">
        <v>111</v>
      </c>
      <c r="T45" s="2" t="s">
        <v>35</v>
      </c>
      <c r="U45" s="2" t="s">
        <v>45</v>
      </c>
      <c r="V45" s="2" t="s">
        <v>37</v>
      </c>
      <c r="W45" s="2" t="s">
        <v>63</v>
      </c>
      <c r="Y45" s="2" t="s">
        <v>54</v>
      </c>
      <c r="AA45" s="3"/>
    </row>
    <row r="46" ht="14.25" customHeight="1">
      <c r="A46" s="2">
        <v>44.0</v>
      </c>
      <c r="B46" s="3">
        <v>45622.4286342593</v>
      </c>
      <c r="C46" s="3">
        <v>45622.4305787037</v>
      </c>
      <c r="D46" s="2" t="s">
        <v>25</v>
      </c>
      <c r="E46" s="2" t="s">
        <v>26</v>
      </c>
      <c r="F46" s="2" t="s">
        <v>77</v>
      </c>
      <c r="G46" s="2" t="s">
        <v>28</v>
      </c>
      <c r="H46" s="2" t="s">
        <v>29</v>
      </c>
      <c r="I46" s="2" t="s">
        <v>112</v>
      </c>
      <c r="J46" s="2" t="s">
        <v>51</v>
      </c>
      <c r="K46" s="2" t="s">
        <v>32</v>
      </c>
      <c r="L46" s="2" t="s">
        <v>32</v>
      </c>
      <c r="M46" s="2" t="s">
        <v>32</v>
      </c>
      <c r="N46" s="2" t="s">
        <v>32</v>
      </c>
      <c r="O46" s="2" t="s">
        <v>32</v>
      </c>
      <c r="P46" s="2" t="s">
        <v>32</v>
      </c>
      <c r="Q46" s="2" t="s">
        <v>33</v>
      </c>
      <c r="R46" s="2" t="s">
        <v>32</v>
      </c>
      <c r="S46" s="2" t="s">
        <v>44</v>
      </c>
      <c r="T46" s="2" t="s">
        <v>35</v>
      </c>
      <c r="U46" s="2" t="s">
        <v>45</v>
      </c>
      <c r="V46" s="2" t="s">
        <v>37</v>
      </c>
      <c r="W46" s="2" t="s">
        <v>63</v>
      </c>
      <c r="X46" s="1">
        <v>83.0</v>
      </c>
      <c r="Y46" s="2" t="s">
        <v>48</v>
      </c>
      <c r="AA46" s="3"/>
    </row>
    <row r="47" ht="14.25" customHeight="1">
      <c r="A47" s="2">
        <v>45.0</v>
      </c>
      <c r="B47" s="3">
        <v>45622.4211226852</v>
      </c>
      <c r="C47" s="3">
        <v>45622.4480787037</v>
      </c>
      <c r="D47" s="2" t="s">
        <v>25</v>
      </c>
      <c r="E47" s="2" t="s">
        <v>41</v>
      </c>
      <c r="F47" s="2" t="s">
        <v>49</v>
      </c>
      <c r="G47" s="2" t="s">
        <v>28</v>
      </c>
      <c r="H47" s="2" t="s">
        <v>29</v>
      </c>
      <c r="I47" s="2" t="s">
        <v>113</v>
      </c>
      <c r="J47" s="2" t="s">
        <v>51</v>
      </c>
      <c r="K47" s="2" t="s">
        <v>52</v>
      </c>
      <c r="L47" s="2" t="s">
        <v>31</v>
      </c>
      <c r="M47" s="2" t="s">
        <v>32</v>
      </c>
      <c r="N47" s="2" t="s">
        <v>33</v>
      </c>
      <c r="O47" s="2" t="s">
        <v>32</v>
      </c>
      <c r="P47" s="2" t="s">
        <v>32</v>
      </c>
      <c r="Q47" s="2" t="s">
        <v>52</v>
      </c>
      <c r="R47" s="2" t="s">
        <v>52</v>
      </c>
      <c r="S47" s="2" t="s">
        <v>69</v>
      </c>
      <c r="T47" s="2" t="s">
        <v>114</v>
      </c>
      <c r="U47" s="2" t="s">
        <v>36</v>
      </c>
      <c r="V47" s="2" t="s">
        <v>46</v>
      </c>
      <c r="W47" s="2" t="s">
        <v>63</v>
      </c>
      <c r="Y47" s="2" t="s">
        <v>115</v>
      </c>
      <c r="AA47" s="3"/>
    </row>
    <row r="48" ht="14.25" customHeight="1">
      <c r="A48" s="2">
        <v>46.0</v>
      </c>
      <c r="B48" s="3">
        <v>45622.4731481481</v>
      </c>
      <c r="C48" s="3">
        <v>45622.4770486111</v>
      </c>
      <c r="D48" s="2" t="s">
        <v>25</v>
      </c>
      <c r="E48" s="2" t="s">
        <v>26</v>
      </c>
      <c r="F48" s="2" t="s">
        <v>116</v>
      </c>
      <c r="G48" s="2" t="s">
        <v>28</v>
      </c>
      <c r="H48" s="2" t="s">
        <v>29</v>
      </c>
      <c r="I48" s="2" t="s">
        <v>60</v>
      </c>
      <c r="J48" s="2" t="s">
        <v>51</v>
      </c>
      <c r="S48" s="2" t="s">
        <v>44</v>
      </c>
      <c r="T48" s="2" t="s">
        <v>35</v>
      </c>
      <c r="U48" s="2" t="s">
        <v>117</v>
      </c>
      <c r="V48" s="2" t="s">
        <v>92</v>
      </c>
      <c r="W48" s="2" t="s">
        <v>63</v>
      </c>
      <c r="X48" s="2" t="s">
        <v>81</v>
      </c>
      <c r="Y48" s="2" t="s">
        <v>54</v>
      </c>
      <c r="AA48" s="3"/>
    </row>
    <row r="49" ht="14.25" customHeight="1">
      <c r="A49" s="2">
        <v>47.0</v>
      </c>
      <c r="B49" s="3">
        <v>45622.5762037037</v>
      </c>
      <c r="C49" s="3">
        <v>45622.5788541667</v>
      </c>
      <c r="D49" s="2" t="s">
        <v>25</v>
      </c>
      <c r="E49" s="2" t="s">
        <v>26</v>
      </c>
      <c r="F49" s="2" t="s">
        <v>49</v>
      </c>
      <c r="G49" s="2" t="s">
        <v>28</v>
      </c>
      <c r="H49" s="2" t="s">
        <v>29</v>
      </c>
      <c r="I49" s="2" t="s">
        <v>43</v>
      </c>
      <c r="J49" s="2" t="s">
        <v>51</v>
      </c>
      <c r="L49" s="2" t="s">
        <v>52</v>
      </c>
      <c r="Q49" s="2" t="s">
        <v>52</v>
      </c>
      <c r="R49" s="2" t="s">
        <v>52</v>
      </c>
      <c r="S49" s="2" t="s">
        <v>69</v>
      </c>
      <c r="T49" s="2" t="s">
        <v>35</v>
      </c>
      <c r="U49" s="2" t="s">
        <v>36</v>
      </c>
      <c r="V49" s="2" t="s">
        <v>57</v>
      </c>
      <c r="W49" s="2" t="s">
        <v>63</v>
      </c>
      <c r="X49" s="2" t="s">
        <v>118</v>
      </c>
      <c r="Y49" s="2" t="s">
        <v>54</v>
      </c>
      <c r="AA49" s="3"/>
    </row>
    <row r="50" ht="14.25" customHeight="1">
      <c r="A50" s="2">
        <v>48.0</v>
      </c>
      <c r="B50" s="3">
        <v>45622.6455671296</v>
      </c>
      <c r="C50" s="3">
        <v>45622.6625578704</v>
      </c>
      <c r="D50" s="2" t="s">
        <v>25</v>
      </c>
      <c r="E50" s="2" t="s">
        <v>41</v>
      </c>
      <c r="F50" s="2" t="s">
        <v>49</v>
      </c>
      <c r="G50" s="2" t="s">
        <v>28</v>
      </c>
      <c r="H50" s="2" t="s">
        <v>29</v>
      </c>
      <c r="I50" s="2" t="s">
        <v>119</v>
      </c>
      <c r="J50" s="2" t="s">
        <v>51</v>
      </c>
      <c r="K50" s="2" t="s">
        <v>52</v>
      </c>
      <c r="L50" s="2" t="s">
        <v>32</v>
      </c>
      <c r="M50" s="2" t="s">
        <v>32</v>
      </c>
      <c r="N50" s="2" t="s">
        <v>32</v>
      </c>
      <c r="O50" s="2" t="s">
        <v>32</v>
      </c>
      <c r="P50" s="2" t="s">
        <v>32</v>
      </c>
      <c r="Q50" s="2" t="s">
        <v>32</v>
      </c>
      <c r="R50" s="2" t="s">
        <v>32</v>
      </c>
      <c r="S50" s="2" t="s">
        <v>44</v>
      </c>
      <c r="T50" s="2" t="s">
        <v>35</v>
      </c>
      <c r="U50" s="2" t="s">
        <v>45</v>
      </c>
      <c r="V50" s="2" t="s">
        <v>37</v>
      </c>
      <c r="W50" s="2" t="s">
        <v>63</v>
      </c>
      <c r="X50" s="2" t="s">
        <v>67</v>
      </c>
      <c r="Y50" s="2" t="s">
        <v>54</v>
      </c>
      <c r="AA50" s="3"/>
    </row>
    <row r="51" ht="14.25" customHeight="1">
      <c r="A51" s="2">
        <v>49.0</v>
      </c>
      <c r="B51" s="3">
        <v>45628.4051157407</v>
      </c>
      <c r="C51" s="3">
        <v>45628.4068634259</v>
      </c>
      <c r="D51" s="2" t="s">
        <v>25</v>
      </c>
      <c r="E51" s="2" t="s">
        <v>26</v>
      </c>
      <c r="F51" s="2" t="s">
        <v>49</v>
      </c>
      <c r="G51" s="2" t="s">
        <v>28</v>
      </c>
      <c r="H51" s="2" t="s">
        <v>29</v>
      </c>
      <c r="I51" s="2" t="s">
        <v>66</v>
      </c>
      <c r="J51" s="2" t="s">
        <v>51</v>
      </c>
      <c r="S51" s="2" t="s">
        <v>69</v>
      </c>
      <c r="T51" s="2" t="s">
        <v>35</v>
      </c>
      <c r="U51" s="2" t="s">
        <v>45</v>
      </c>
      <c r="V51" s="2" t="s">
        <v>37</v>
      </c>
      <c r="W51" s="2" t="s">
        <v>38</v>
      </c>
      <c r="X51" s="2" t="s">
        <v>81</v>
      </c>
      <c r="Y51" s="2" t="s">
        <v>48</v>
      </c>
      <c r="AA51" s="3"/>
    </row>
    <row r="52" ht="14.25" customHeight="1">
      <c r="A52" s="2">
        <v>1.0</v>
      </c>
      <c r="B52" s="3">
        <v>45616.4125578704</v>
      </c>
      <c r="C52" s="3">
        <v>45616.4137962963</v>
      </c>
      <c r="D52" s="2" t="s">
        <v>25</v>
      </c>
      <c r="E52" s="2" t="s">
        <v>41</v>
      </c>
      <c r="F52" s="2" t="s">
        <v>49</v>
      </c>
      <c r="G52" s="2" t="s">
        <v>120</v>
      </c>
      <c r="H52" s="2" t="s">
        <v>29</v>
      </c>
      <c r="I52" s="2" t="s">
        <v>60</v>
      </c>
      <c r="J52" s="2" t="s">
        <v>31</v>
      </c>
      <c r="K52" s="2" t="s">
        <v>52</v>
      </c>
      <c r="L52" s="2" t="s">
        <v>33</v>
      </c>
      <c r="M52" s="2" t="s">
        <v>33</v>
      </c>
      <c r="N52" s="2" t="s">
        <v>33</v>
      </c>
      <c r="O52" s="2" t="s">
        <v>33</v>
      </c>
      <c r="P52" s="2" t="s">
        <v>33</v>
      </c>
      <c r="Q52" s="2" t="s">
        <v>33</v>
      </c>
      <c r="R52" s="2" t="s">
        <v>52</v>
      </c>
      <c r="S52" s="2" t="s">
        <v>69</v>
      </c>
      <c r="T52" s="2" t="s">
        <v>35</v>
      </c>
      <c r="U52" s="2" t="s">
        <v>36</v>
      </c>
      <c r="V52" s="2" t="s">
        <v>46</v>
      </c>
      <c r="W52" s="2" t="s">
        <v>38</v>
      </c>
      <c r="X52" s="2" t="s">
        <v>121</v>
      </c>
      <c r="Y52" s="2" t="s">
        <v>108</v>
      </c>
      <c r="AA52" s="3"/>
    </row>
    <row r="53" ht="14.25" customHeight="1">
      <c r="A53" s="2">
        <v>2.0</v>
      </c>
      <c r="B53" s="3">
        <v>45617.4345486111</v>
      </c>
      <c r="C53" s="3">
        <v>45617.4407291667</v>
      </c>
      <c r="D53" s="2" t="s">
        <v>25</v>
      </c>
      <c r="E53" s="2" t="s">
        <v>41</v>
      </c>
      <c r="F53" s="2" t="s">
        <v>122</v>
      </c>
      <c r="G53" s="2" t="s">
        <v>120</v>
      </c>
      <c r="H53" s="2" t="s">
        <v>29</v>
      </c>
      <c r="I53" s="2" t="s">
        <v>113</v>
      </c>
      <c r="J53" s="2" t="s">
        <v>51</v>
      </c>
      <c r="M53" s="2" t="s">
        <v>31</v>
      </c>
      <c r="Q53" s="2" t="s">
        <v>52</v>
      </c>
      <c r="R53" s="2" t="s">
        <v>52</v>
      </c>
      <c r="S53" s="2" t="s">
        <v>69</v>
      </c>
      <c r="T53" s="2" t="s">
        <v>62</v>
      </c>
      <c r="U53" s="2" t="s">
        <v>36</v>
      </c>
      <c r="V53" s="2" t="s">
        <v>46</v>
      </c>
      <c r="W53" s="2" t="s">
        <v>63</v>
      </c>
      <c r="X53" s="2" t="s">
        <v>123</v>
      </c>
      <c r="Y53" s="2" t="s">
        <v>65</v>
      </c>
      <c r="AA53" s="3"/>
    </row>
    <row r="54" ht="14.25" customHeight="1">
      <c r="A54" s="2">
        <v>3.0</v>
      </c>
      <c r="B54" s="3">
        <v>45631.381724537</v>
      </c>
      <c r="C54" s="3">
        <v>45631.3838425926</v>
      </c>
      <c r="D54" s="2" t="s">
        <v>25</v>
      </c>
      <c r="E54" s="2" t="s">
        <v>41</v>
      </c>
      <c r="F54" s="2" t="s">
        <v>122</v>
      </c>
      <c r="G54" s="2" t="s">
        <v>120</v>
      </c>
      <c r="H54" s="2" t="s">
        <v>29</v>
      </c>
      <c r="I54" s="2" t="s">
        <v>124</v>
      </c>
      <c r="J54" s="2" t="s">
        <v>31</v>
      </c>
      <c r="K54" s="2" t="s">
        <v>33</v>
      </c>
      <c r="L54" s="2" t="s">
        <v>31</v>
      </c>
      <c r="M54" s="2" t="s">
        <v>33</v>
      </c>
      <c r="N54" s="2" t="s">
        <v>33</v>
      </c>
      <c r="O54" s="2" t="s">
        <v>33</v>
      </c>
      <c r="P54" s="2" t="s">
        <v>33</v>
      </c>
      <c r="Q54" s="2" t="s">
        <v>33</v>
      </c>
      <c r="R54" s="2" t="s">
        <v>52</v>
      </c>
      <c r="S54" s="2" t="s">
        <v>69</v>
      </c>
      <c r="T54" s="2" t="s">
        <v>62</v>
      </c>
      <c r="U54" s="2" t="s">
        <v>36</v>
      </c>
      <c r="V54" s="2" t="s">
        <v>57</v>
      </c>
      <c r="W54" s="2" t="s">
        <v>125</v>
      </c>
      <c r="X54" s="2" t="s">
        <v>126</v>
      </c>
      <c r="Y54" s="2" t="s">
        <v>127</v>
      </c>
      <c r="AA54" s="3"/>
    </row>
    <row r="55" ht="14.25" customHeight="1">
      <c r="A55" s="2">
        <v>4.0</v>
      </c>
      <c r="B55" s="3">
        <v>45644.4642708333</v>
      </c>
      <c r="C55" s="3">
        <v>45644.4656597222</v>
      </c>
      <c r="D55" s="2" t="s">
        <v>25</v>
      </c>
      <c r="E55" s="2" t="s">
        <v>41</v>
      </c>
      <c r="F55" s="2" t="s">
        <v>122</v>
      </c>
      <c r="G55" s="2" t="s">
        <v>120</v>
      </c>
      <c r="H55" s="2" t="s">
        <v>128</v>
      </c>
      <c r="Y55" s="2" t="s">
        <v>54</v>
      </c>
      <c r="AA55" s="3"/>
    </row>
    <row r="56" ht="14.25" customHeight="1">
      <c r="A56" s="2">
        <v>5.0</v>
      </c>
      <c r="B56" s="3">
        <v>45644.4646296296</v>
      </c>
      <c r="C56" s="3">
        <v>45644.4658101852</v>
      </c>
      <c r="D56" s="2" t="s">
        <v>25</v>
      </c>
      <c r="E56" s="2" t="s">
        <v>41</v>
      </c>
      <c r="F56" s="2" t="s">
        <v>77</v>
      </c>
      <c r="G56" s="2" t="s">
        <v>120</v>
      </c>
      <c r="H56" s="2" t="s">
        <v>29</v>
      </c>
      <c r="I56" s="2" t="s">
        <v>43</v>
      </c>
      <c r="J56" s="2" t="s">
        <v>51</v>
      </c>
      <c r="S56" s="2" t="s">
        <v>129</v>
      </c>
      <c r="T56" s="2" t="s">
        <v>35</v>
      </c>
      <c r="U56" s="2" t="s">
        <v>130</v>
      </c>
      <c r="V56" s="2" t="s">
        <v>92</v>
      </c>
      <c r="W56" s="2" t="s">
        <v>63</v>
      </c>
      <c r="X56" s="2" t="s">
        <v>53</v>
      </c>
      <c r="Y56" s="2" t="s">
        <v>54</v>
      </c>
      <c r="AA56" s="3"/>
    </row>
    <row r="57" ht="14.25" customHeight="1">
      <c r="A57" s="2">
        <v>6.0</v>
      </c>
      <c r="B57" s="3">
        <v>45644.4637731481</v>
      </c>
      <c r="C57" s="3">
        <v>45644.4659027778</v>
      </c>
      <c r="D57" s="2" t="s">
        <v>25</v>
      </c>
      <c r="E57" s="2" t="s">
        <v>41</v>
      </c>
      <c r="F57" s="2" t="s">
        <v>122</v>
      </c>
      <c r="G57" s="2" t="s">
        <v>120</v>
      </c>
      <c r="H57" s="2" t="s">
        <v>29</v>
      </c>
      <c r="I57" s="2" t="s">
        <v>30</v>
      </c>
      <c r="J57" s="2" t="s">
        <v>52</v>
      </c>
      <c r="K57" s="2" t="s">
        <v>33</v>
      </c>
      <c r="L57" s="2" t="s">
        <v>33</v>
      </c>
      <c r="M57" s="2" t="s">
        <v>33</v>
      </c>
      <c r="N57" s="2" t="s">
        <v>33</v>
      </c>
      <c r="O57" s="2" t="s">
        <v>33</v>
      </c>
      <c r="Q57" s="2" t="s">
        <v>52</v>
      </c>
      <c r="R57" s="2" t="s">
        <v>33</v>
      </c>
      <c r="S57" s="2" t="s">
        <v>129</v>
      </c>
      <c r="T57" s="2" t="s">
        <v>35</v>
      </c>
      <c r="U57" s="2" t="s">
        <v>36</v>
      </c>
      <c r="V57" s="2" t="s">
        <v>37</v>
      </c>
      <c r="W57" s="2" t="s">
        <v>131</v>
      </c>
      <c r="X57" s="2" t="s">
        <v>132</v>
      </c>
      <c r="Y57" s="2" t="s">
        <v>54</v>
      </c>
      <c r="AA57" s="3"/>
    </row>
    <row r="58" ht="14.25" customHeight="1">
      <c r="A58" s="2">
        <v>7.0</v>
      </c>
      <c r="B58" s="3">
        <v>45644.4682638889</v>
      </c>
      <c r="C58" s="3">
        <v>45644.4704050926</v>
      </c>
      <c r="D58" s="2" t="s">
        <v>25</v>
      </c>
      <c r="E58" s="2" t="s">
        <v>41</v>
      </c>
      <c r="F58" s="2" t="s">
        <v>77</v>
      </c>
      <c r="G58" s="2" t="s">
        <v>120</v>
      </c>
      <c r="H58" s="2" t="s">
        <v>29</v>
      </c>
      <c r="I58" s="2" t="s">
        <v>133</v>
      </c>
      <c r="J58" s="2" t="s">
        <v>52</v>
      </c>
      <c r="K58" s="2" t="s">
        <v>33</v>
      </c>
      <c r="L58" s="2" t="s">
        <v>52</v>
      </c>
      <c r="M58" s="2" t="s">
        <v>32</v>
      </c>
      <c r="N58" s="2" t="s">
        <v>33</v>
      </c>
      <c r="O58" s="2" t="s">
        <v>32</v>
      </c>
      <c r="P58" s="2" t="s">
        <v>32</v>
      </c>
      <c r="Q58" s="2" t="s">
        <v>31</v>
      </c>
      <c r="R58" s="2" t="s">
        <v>33</v>
      </c>
      <c r="S58" s="2" t="s">
        <v>44</v>
      </c>
      <c r="T58" s="2" t="s">
        <v>134</v>
      </c>
      <c r="U58" s="2" t="s">
        <v>36</v>
      </c>
      <c r="V58" s="2" t="s">
        <v>37</v>
      </c>
      <c r="W58" s="2" t="s">
        <v>38</v>
      </c>
      <c r="X58" s="2" t="s">
        <v>135</v>
      </c>
      <c r="Y58" s="2" t="s">
        <v>54</v>
      </c>
      <c r="AA58" s="3"/>
    </row>
    <row r="59" ht="14.25" customHeight="1">
      <c r="A59" s="2">
        <v>8.0</v>
      </c>
      <c r="B59" s="3">
        <v>45644.4791666667</v>
      </c>
      <c r="C59" s="3">
        <v>45644.4808333333</v>
      </c>
      <c r="D59" s="2" t="s">
        <v>25</v>
      </c>
      <c r="E59" s="2" t="s">
        <v>41</v>
      </c>
      <c r="F59" s="2" t="s">
        <v>122</v>
      </c>
      <c r="G59" s="2" t="s">
        <v>120</v>
      </c>
      <c r="H59" s="2" t="s">
        <v>29</v>
      </c>
      <c r="I59" s="2" t="s">
        <v>136</v>
      </c>
      <c r="J59" s="2" t="s">
        <v>51</v>
      </c>
      <c r="K59" s="2" t="s">
        <v>32</v>
      </c>
      <c r="L59" s="2" t="s">
        <v>52</v>
      </c>
      <c r="M59" s="2" t="s">
        <v>32</v>
      </c>
      <c r="N59" s="2" t="s">
        <v>33</v>
      </c>
      <c r="O59" s="2" t="s">
        <v>33</v>
      </c>
      <c r="P59" s="2" t="s">
        <v>32</v>
      </c>
      <c r="Q59" s="2" t="s">
        <v>33</v>
      </c>
      <c r="R59" s="2" t="s">
        <v>52</v>
      </c>
      <c r="S59" s="2" t="s">
        <v>34</v>
      </c>
      <c r="T59" s="2" t="s">
        <v>93</v>
      </c>
      <c r="U59" s="2" t="s">
        <v>36</v>
      </c>
      <c r="V59" s="2" t="s">
        <v>37</v>
      </c>
      <c r="W59" s="2" t="s">
        <v>63</v>
      </c>
      <c r="X59" s="2" t="s">
        <v>81</v>
      </c>
      <c r="Y59" s="2" t="s">
        <v>54</v>
      </c>
      <c r="AA59" s="3"/>
    </row>
    <row r="60" ht="14.25" customHeight="1">
      <c r="A60" s="2">
        <v>9.0</v>
      </c>
      <c r="B60" s="3">
        <v>45644.487662037</v>
      </c>
      <c r="C60" s="3">
        <v>45644.4889351852</v>
      </c>
      <c r="D60" s="2" t="s">
        <v>25</v>
      </c>
      <c r="E60" s="2" t="s">
        <v>41</v>
      </c>
      <c r="F60" s="2" t="s">
        <v>42</v>
      </c>
      <c r="G60" s="2" t="s">
        <v>120</v>
      </c>
      <c r="H60" s="2" t="s">
        <v>29</v>
      </c>
      <c r="I60" s="2" t="s">
        <v>109</v>
      </c>
      <c r="J60" s="2" t="s">
        <v>52</v>
      </c>
      <c r="Q60" s="2" t="s">
        <v>52</v>
      </c>
      <c r="S60" s="2" t="s">
        <v>44</v>
      </c>
      <c r="T60" s="2" t="s">
        <v>35</v>
      </c>
      <c r="U60" s="2" t="s">
        <v>36</v>
      </c>
      <c r="V60" s="2" t="s">
        <v>37</v>
      </c>
      <c r="W60" s="2" t="s">
        <v>125</v>
      </c>
      <c r="X60" s="2" t="s">
        <v>137</v>
      </c>
      <c r="Y60" s="2" t="s">
        <v>74</v>
      </c>
      <c r="AA60" s="3"/>
    </row>
    <row r="61" ht="14.25" customHeight="1">
      <c r="A61" s="2">
        <v>10.0</v>
      </c>
      <c r="B61" s="3">
        <v>45644.4879050926</v>
      </c>
      <c r="C61" s="3">
        <v>45644.4899305556</v>
      </c>
      <c r="D61" s="2" t="s">
        <v>25</v>
      </c>
      <c r="E61" s="2" t="s">
        <v>41</v>
      </c>
      <c r="F61" s="2" t="s">
        <v>122</v>
      </c>
      <c r="G61" s="2" t="s">
        <v>138</v>
      </c>
      <c r="H61" s="2" t="s">
        <v>29</v>
      </c>
      <c r="I61" s="2" t="s">
        <v>139</v>
      </c>
      <c r="J61" s="2" t="s">
        <v>31</v>
      </c>
      <c r="K61" s="2" t="s">
        <v>32</v>
      </c>
      <c r="L61" s="2" t="s">
        <v>52</v>
      </c>
      <c r="M61" s="2" t="s">
        <v>31</v>
      </c>
      <c r="N61" s="2" t="s">
        <v>33</v>
      </c>
      <c r="O61" s="2" t="s">
        <v>33</v>
      </c>
      <c r="P61" s="2" t="s">
        <v>33</v>
      </c>
      <c r="Q61" s="2" t="s">
        <v>33</v>
      </c>
      <c r="R61" s="2" t="s">
        <v>52</v>
      </c>
      <c r="S61" s="2" t="s">
        <v>140</v>
      </c>
      <c r="T61" s="2" t="s">
        <v>93</v>
      </c>
      <c r="U61" s="2" t="s">
        <v>36</v>
      </c>
      <c r="V61" s="2" t="s">
        <v>37</v>
      </c>
      <c r="W61" s="2" t="s">
        <v>63</v>
      </c>
      <c r="X61" s="2" t="s">
        <v>141</v>
      </c>
      <c r="Y61" s="2" t="s">
        <v>54</v>
      </c>
      <c r="AA61" s="3"/>
    </row>
    <row r="62" ht="14.25" customHeight="1">
      <c r="A62" s="2">
        <v>11.0</v>
      </c>
      <c r="B62" s="3">
        <v>45644.4880092593</v>
      </c>
      <c r="C62" s="3">
        <v>45644.4899768519</v>
      </c>
      <c r="D62" s="2" t="s">
        <v>25</v>
      </c>
      <c r="E62" s="2" t="s">
        <v>41</v>
      </c>
      <c r="F62" s="2" t="s">
        <v>122</v>
      </c>
      <c r="G62" s="2" t="s">
        <v>120</v>
      </c>
      <c r="H62" s="2" t="s">
        <v>29</v>
      </c>
      <c r="I62" s="2" t="s">
        <v>142</v>
      </c>
      <c r="J62" s="2" t="s">
        <v>31</v>
      </c>
      <c r="N62" s="2" t="s">
        <v>31</v>
      </c>
      <c r="S62" s="2" t="s">
        <v>44</v>
      </c>
      <c r="T62" s="2" t="s">
        <v>143</v>
      </c>
      <c r="U62" s="2" t="s">
        <v>36</v>
      </c>
      <c r="V62" s="2" t="s">
        <v>37</v>
      </c>
      <c r="W62" s="2" t="s">
        <v>63</v>
      </c>
      <c r="X62" s="2" t="s">
        <v>144</v>
      </c>
      <c r="Y62" s="2" t="s">
        <v>74</v>
      </c>
      <c r="AA62" s="3"/>
    </row>
    <row r="63" ht="14.25" customHeight="1">
      <c r="A63" s="2">
        <v>12.0</v>
      </c>
      <c r="B63" s="3">
        <v>45644.4885648148</v>
      </c>
      <c r="C63" s="3">
        <v>45644.4900694444</v>
      </c>
      <c r="D63" s="2" t="s">
        <v>25</v>
      </c>
      <c r="E63" s="2" t="s">
        <v>41</v>
      </c>
      <c r="F63" s="2" t="s">
        <v>42</v>
      </c>
      <c r="G63" s="2" t="s">
        <v>120</v>
      </c>
      <c r="H63" s="2" t="s">
        <v>29</v>
      </c>
      <c r="I63" s="2" t="s">
        <v>145</v>
      </c>
      <c r="J63" s="2" t="s">
        <v>51</v>
      </c>
      <c r="S63" s="2" t="s">
        <v>34</v>
      </c>
      <c r="T63" s="2" t="s">
        <v>62</v>
      </c>
      <c r="U63" s="2" t="s">
        <v>146</v>
      </c>
      <c r="V63" s="2" t="s">
        <v>46</v>
      </c>
      <c r="W63" s="2" t="s">
        <v>63</v>
      </c>
      <c r="X63" s="2" t="s">
        <v>81</v>
      </c>
      <c r="Y63" s="2" t="s">
        <v>54</v>
      </c>
      <c r="AA63" s="3"/>
    </row>
    <row r="64" ht="14.25" customHeight="1">
      <c r="A64" s="2">
        <v>13.0</v>
      </c>
      <c r="B64" s="3">
        <v>45644.4886689815</v>
      </c>
      <c r="C64" s="3">
        <v>45644.4907986111</v>
      </c>
      <c r="D64" s="2" t="s">
        <v>25</v>
      </c>
      <c r="E64" s="2" t="s">
        <v>41</v>
      </c>
      <c r="F64" s="2" t="s">
        <v>122</v>
      </c>
      <c r="G64" s="2" t="s">
        <v>120</v>
      </c>
      <c r="H64" s="2" t="s">
        <v>29</v>
      </c>
      <c r="I64" s="2" t="s">
        <v>147</v>
      </c>
      <c r="J64" s="2" t="s">
        <v>52</v>
      </c>
      <c r="K64" s="2" t="s">
        <v>33</v>
      </c>
      <c r="L64" s="2" t="s">
        <v>33</v>
      </c>
      <c r="M64" s="2" t="s">
        <v>33</v>
      </c>
      <c r="N64" s="2" t="s">
        <v>33</v>
      </c>
      <c r="O64" s="2" t="s">
        <v>33</v>
      </c>
      <c r="P64" s="2" t="s">
        <v>33</v>
      </c>
      <c r="Q64" s="2" t="s">
        <v>33</v>
      </c>
      <c r="R64" s="2" t="s">
        <v>52</v>
      </c>
      <c r="S64" s="2" t="s">
        <v>44</v>
      </c>
      <c r="T64" s="2" t="s">
        <v>35</v>
      </c>
      <c r="U64" s="2" t="s">
        <v>36</v>
      </c>
      <c r="V64" s="2" t="s">
        <v>37</v>
      </c>
      <c r="W64" s="2" t="s">
        <v>125</v>
      </c>
      <c r="X64" s="2" t="s">
        <v>137</v>
      </c>
      <c r="Y64" s="2" t="s">
        <v>54</v>
      </c>
      <c r="AA64" s="3"/>
    </row>
    <row r="65" ht="14.25" customHeight="1">
      <c r="A65" s="2">
        <v>14.0</v>
      </c>
      <c r="B65" s="3">
        <v>45644.4894328704</v>
      </c>
      <c r="C65" s="3">
        <v>45644.4910069444</v>
      </c>
      <c r="D65" s="2" t="s">
        <v>25</v>
      </c>
      <c r="E65" s="2" t="s">
        <v>41</v>
      </c>
      <c r="F65" s="2" t="s">
        <v>122</v>
      </c>
      <c r="G65" s="2" t="s">
        <v>120</v>
      </c>
      <c r="H65" s="2" t="s">
        <v>29</v>
      </c>
      <c r="I65" s="2" t="s">
        <v>148</v>
      </c>
      <c r="J65" s="2" t="s">
        <v>51</v>
      </c>
      <c r="K65" s="2" t="s">
        <v>33</v>
      </c>
      <c r="L65" s="2" t="s">
        <v>31</v>
      </c>
      <c r="M65" s="2" t="s">
        <v>33</v>
      </c>
      <c r="N65" s="2" t="s">
        <v>33</v>
      </c>
      <c r="O65" s="2" t="s">
        <v>33</v>
      </c>
      <c r="P65" s="2" t="s">
        <v>33</v>
      </c>
      <c r="Q65" s="2" t="s">
        <v>52</v>
      </c>
      <c r="R65" s="2" t="s">
        <v>52</v>
      </c>
      <c r="S65" s="2" t="s">
        <v>129</v>
      </c>
      <c r="T65" s="2" t="s">
        <v>35</v>
      </c>
      <c r="U65" s="2" t="s">
        <v>45</v>
      </c>
      <c r="V65" s="2" t="s">
        <v>37</v>
      </c>
      <c r="W65" s="2" t="s">
        <v>63</v>
      </c>
      <c r="X65" s="2" t="s">
        <v>53</v>
      </c>
      <c r="Y65" s="2" t="s">
        <v>54</v>
      </c>
      <c r="AA65" s="3"/>
    </row>
    <row r="66" ht="14.25" customHeight="1">
      <c r="A66" s="2">
        <v>15.0</v>
      </c>
      <c r="B66" s="3">
        <v>45644.4909143519</v>
      </c>
      <c r="C66" s="3">
        <v>45644.4935300926</v>
      </c>
      <c r="D66" s="2" t="s">
        <v>25</v>
      </c>
      <c r="E66" s="2" t="s">
        <v>41</v>
      </c>
      <c r="F66" s="2" t="s">
        <v>122</v>
      </c>
      <c r="G66" s="2" t="s">
        <v>120</v>
      </c>
      <c r="H66" s="2" t="s">
        <v>29</v>
      </c>
      <c r="I66" s="2" t="s">
        <v>149</v>
      </c>
      <c r="J66" s="2" t="s">
        <v>51</v>
      </c>
      <c r="O66" s="2" t="s">
        <v>51</v>
      </c>
      <c r="R66" s="2" t="s">
        <v>52</v>
      </c>
      <c r="S66" s="2" t="s">
        <v>44</v>
      </c>
      <c r="T66" s="2" t="s">
        <v>35</v>
      </c>
      <c r="U66" s="2" t="s">
        <v>36</v>
      </c>
      <c r="V66" s="2" t="s">
        <v>37</v>
      </c>
      <c r="W66" s="2" t="s">
        <v>63</v>
      </c>
      <c r="X66" s="2" t="s">
        <v>150</v>
      </c>
      <c r="Y66" s="2" t="s">
        <v>54</v>
      </c>
      <c r="AA66" s="3"/>
    </row>
    <row r="67" ht="14.25" customHeight="1">
      <c r="A67" s="2">
        <v>16.0</v>
      </c>
      <c r="B67" s="3">
        <v>45644.4919675926</v>
      </c>
      <c r="C67" s="3">
        <v>45644.4935532407</v>
      </c>
      <c r="D67" s="2" t="s">
        <v>25</v>
      </c>
      <c r="E67" s="2" t="s">
        <v>41</v>
      </c>
      <c r="F67" s="2" t="s">
        <v>122</v>
      </c>
      <c r="G67" s="2" t="s">
        <v>120</v>
      </c>
      <c r="H67" s="2" t="s">
        <v>29</v>
      </c>
      <c r="I67" s="2" t="s">
        <v>151</v>
      </c>
      <c r="J67" s="2" t="s">
        <v>31</v>
      </c>
      <c r="K67" s="2" t="s">
        <v>33</v>
      </c>
      <c r="L67" s="2" t="s">
        <v>32</v>
      </c>
      <c r="M67" s="2" t="s">
        <v>32</v>
      </c>
      <c r="N67" s="2" t="s">
        <v>33</v>
      </c>
      <c r="O67" s="2" t="s">
        <v>33</v>
      </c>
      <c r="P67" s="2" t="s">
        <v>32</v>
      </c>
      <c r="Q67" s="2" t="s">
        <v>52</v>
      </c>
      <c r="R67" s="2" t="s">
        <v>52</v>
      </c>
      <c r="S67" s="2" t="s">
        <v>152</v>
      </c>
      <c r="T67" s="2" t="s">
        <v>134</v>
      </c>
      <c r="U67" s="2" t="s">
        <v>45</v>
      </c>
      <c r="V67" s="2" t="s">
        <v>46</v>
      </c>
      <c r="W67" s="2" t="s">
        <v>63</v>
      </c>
      <c r="X67" s="2" t="s">
        <v>153</v>
      </c>
      <c r="Y67" s="2" t="s">
        <v>48</v>
      </c>
      <c r="AA67" s="3"/>
    </row>
    <row r="68" ht="14.25" customHeight="1">
      <c r="A68" s="2">
        <v>17.0</v>
      </c>
      <c r="B68" s="3">
        <v>45644.500474537</v>
      </c>
      <c r="C68" s="3">
        <v>45644.5015972222</v>
      </c>
      <c r="D68" s="2" t="s">
        <v>25</v>
      </c>
      <c r="E68" s="2" t="s">
        <v>41</v>
      </c>
      <c r="F68" s="2" t="s">
        <v>122</v>
      </c>
      <c r="G68" s="2" t="s">
        <v>120</v>
      </c>
      <c r="H68" s="2" t="s">
        <v>29</v>
      </c>
      <c r="I68" s="2" t="s">
        <v>147</v>
      </c>
      <c r="J68" s="2" t="s">
        <v>52</v>
      </c>
      <c r="L68" s="2" t="s">
        <v>52</v>
      </c>
      <c r="N68" s="2" t="s">
        <v>52</v>
      </c>
      <c r="S68" s="2" t="s">
        <v>69</v>
      </c>
      <c r="T68" s="2" t="s">
        <v>134</v>
      </c>
      <c r="U68" s="2" t="s">
        <v>45</v>
      </c>
      <c r="V68" s="2" t="s">
        <v>37</v>
      </c>
      <c r="W68" s="2" t="s">
        <v>125</v>
      </c>
      <c r="X68" s="2" t="s">
        <v>110</v>
      </c>
      <c r="Y68" s="2" t="s">
        <v>54</v>
      </c>
      <c r="AA68" s="3"/>
    </row>
    <row r="69" ht="14.25" customHeight="1">
      <c r="A69" s="2">
        <v>18.0</v>
      </c>
      <c r="B69" s="3">
        <v>45644.5000578704</v>
      </c>
      <c r="C69" s="3">
        <v>45644.5030555556</v>
      </c>
      <c r="D69" s="2" t="s">
        <v>25</v>
      </c>
      <c r="E69" s="2" t="s">
        <v>41</v>
      </c>
      <c r="F69" s="2" t="s">
        <v>122</v>
      </c>
      <c r="G69" s="2" t="s">
        <v>120</v>
      </c>
      <c r="H69" s="2" t="s">
        <v>29</v>
      </c>
      <c r="I69" s="2" t="s">
        <v>154</v>
      </c>
      <c r="J69" s="2" t="s">
        <v>51</v>
      </c>
      <c r="L69" s="2" t="s">
        <v>31</v>
      </c>
      <c r="N69" s="2" t="s">
        <v>51</v>
      </c>
      <c r="R69" s="2" t="s">
        <v>31</v>
      </c>
      <c r="S69" s="2" t="s">
        <v>152</v>
      </c>
      <c r="T69" s="2" t="s">
        <v>155</v>
      </c>
      <c r="U69" s="2" t="s">
        <v>36</v>
      </c>
      <c r="V69" s="2" t="s">
        <v>46</v>
      </c>
      <c r="W69" s="2" t="s">
        <v>63</v>
      </c>
      <c r="X69" s="2" t="s">
        <v>156</v>
      </c>
      <c r="Y69" s="2" t="s">
        <v>74</v>
      </c>
      <c r="AA69" s="3"/>
    </row>
    <row r="70" ht="14.25" customHeight="1">
      <c r="A70" s="2">
        <v>19.0</v>
      </c>
      <c r="B70" s="3">
        <v>45644.5055439815</v>
      </c>
      <c r="C70" s="3">
        <v>45644.5081134259</v>
      </c>
      <c r="D70" s="2" t="s">
        <v>25</v>
      </c>
      <c r="E70" s="2" t="s">
        <v>41</v>
      </c>
      <c r="F70" s="2" t="s">
        <v>122</v>
      </c>
      <c r="G70" s="2" t="s">
        <v>120</v>
      </c>
      <c r="H70" s="2" t="s">
        <v>29</v>
      </c>
      <c r="I70" s="2" t="s">
        <v>157</v>
      </c>
      <c r="J70" s="2" t="s">
        <v>51</v>
      </c>
      <c r="S70" s="2" t="s">
        <v>69</v>
      </c>
      <c r="T70" s="2" t="s">
        <v>158</v>
      </c>
      <c r="U70" s="2" t="s">
        <v>36</v>
      </c>
      <c r="V70" s="2" t="s">
        <v>46</v>
      </c>
      <c r="W70" s="2" t="s">
        <v>63</v>
      </c>
      <c r="X70" s="2" t="s">
        <v>159</v>
      </c>
      <c r="Y70" s="2" t="s">
        <v>108</v>
      </c>
      <c r="AA70" s="3"/>
    </row>
    <row r="71" ht="14.25" customHeight="1">
      <c r="A71" s="2">
        <v>20.0</v>
      </c>
      <c r="B71" s="3">
        <v>45644.5083796296</v>
      </c>
      <c r="C71" s="3">
        <v>45644.5099652778</v>
      </c>
      <c r="D71" s="2" t="s">
        <v>25</v>
      </c>
      <c r="E71" s="2" t="s">
        <v>41</v>
      </c>
      <c r="F71" s="2" t="s">
        <v>122</v>
      </c>
      <c r="G71" s="2" t="s">
        <v>120</v>
      </c>
      <c r="H71" s="2" t="s">
        <v>29</v>
      </c>
      <c r="I71" s="2" t="s">
        <v>160</v>
      </c>
      <c r="J71" s="2" t="s">
        <v>31</v>
      </c>
      <c r="K71" s="2" t="s">
        <v>33</v>
      </c>
      <c r="L71" s="2" t="s">
        <v>52</v>
      </c>
      <c r="M71" s="2" t="s">
        <v>52</v>
      </c>
      <c r="N71" s="2" t="s">
        <v>51</v>
      </c>
      <c r="O71" s="2" t="s">
        <v>33</v>
      </c>
      <c r="P71" s="2" t="s">
        <v>33</v>
      </c>
      <c r="Q71" s="2" t="s">
        <v>52</v>
      </c>
      <c r="R71" s="2" t="s">
        <v>33</v>
      </c>
      <c r="S71" s="2" t="s">
        <v>44</v>
      </c>
      <c r="T71" s="2" t="s">
        <v>35</v>
      </c>
      <c r="U71" s="2" t="s">
        <v>36</v>
      </c>
      <c r="V71" s="2" t="s">
        <v>46</v>
      </c>
      <c r="W71" s="2" t="s">
        <v>38</v>
      </c>
      <c r="X71" s="2" t="s">
        <v>161</v>
      </c>
      <c r="Y71" s="2" t="s">
        <v>74</v>
      </c>
      <c r="AA71" s="3"/>
    </row>
    <row r="72" ht="14.25" customHeight="1">
      <c r="A72" s="2">
        <v>21.0</v>
      </c>
      <c r="B72" s="3">
        <v>45644.5766087963</v>
      </c>
      <c r="C72" s="3">
        <v>45644.5784953704</v>
      </c>
      <c r="D72" s="2" t="s">
        <v>25</v>
      </c>
      <c r="E72" s="2" t="s">
        <v>41</v>
      </c>
      <c r="F72" s="2" t="s">
        <v>122</v>
      </c>
      <c r="G72" s="2" t="s">
        <v>120</v>
      </c>
      <c r="H72" s="2" t="s">
        <v>29</v>
      </c>
      <c r="I72" s="2" t="s">
        <v>162</v>
      </c>
      <c r="J72" s="2" t="s">
        <v>31</v>
      </c>
      <c r="S72" s="2" t="s">
        <v>129</v>
      </c>
      <c r="T72" s="2" t="s">
        <v>35</v>
      </c>
      <c r="U72" s="2" t="s">
        <v>163</v>
      </c>
      <c r="V72" s="2" t="s">
        <v>37</v>
      </c>
      <c r="W72" s="2" t="s">
        <v>38</v>
      </c>
      <c r="X72" s="2" t="s">
        <v>58</v>
      </c>
      <c r="Y72" s="2" t="s">
        <v>54</v>
      </c>
      <c r="AA72" s="3"/>
    </row>
    <row r="73" ht="14.25" customHeight="1">
      <c r="A73" s="2">
        <v>22.0</v>
      </c>
      <c r="B73" s="3">
        <v>45644.6050115741</v>
      </c>
      <c r="C73" s="3">
        <v>45644.6065972222</v>
      </c>
      <c r="D73" s="2" t="s">
        <v>25</v>
      </c>
      <c r="E73" s="2" t="s">
        <v>41</v>
      </c>
      <c r="F73" s="2" t="s">
        <v>49</v>
      </c>
      <c r="G73" s="2" t="s">
        <v>120</v>
      </c>
      <c r="H73" s="2" t="s">
        <v>29</v>
      </c>
      <c r="I73" s="2" t="s">
        <v>164</v>
      </c>
      <c r="J73" s="2" t="s">
        <v>31</v>
      </c>
      <c r="K73" s="2" t="s">
        <v>52</v>
      </c>
      <c r="L73" s="2" t="s">
        <v>52</v>
      </c>
      <c r="M73" s="2" t="s">
        <v>33</v>
      </c>
      <c r="N73" s="2" t="s">
        <v>31</v>
      </c>
      <c r="O73" s="2" t="s">
        <v>31</v>
      </c>
      <c r="P73" s="2" t="s">
        <v>32</v>
      </c>
      <c r="Q73" s="2" t="s">
        <v>31</v>
      </c>
      <c r="R73" s="2" t="s">
        <v>31</v>
      </c>
      <c r="S73" s="2" t="s">
        <v>56</v>
      </c>
      <c r="T73" s="2" t="s">
        <v>62</v>
      </c>
      <c r="U73" s="2" t="s">
        <v>36</v>
      </c>
      <c r="V73" s="2" t="s">
        <v>46</v>
      </c>
      <c r="W73" s="2" t="s">
        <v>38</v>
      </c>
      <c r="X73" s="2" t="s">
        <v>100</v>
      </c>
      <c r="Y73" s="2" t="s">
        <v>54</v>
      </c>
      <c r="AA73" s="3"/>
    </row>
    <row r="74" ht="14.25" customHeight="1">
      <c r="A74" s="2">
        <v>23.0</v>
      </c>
      <c r="B74" s="3">
        <v>45644.6246875</v>
      </c>
      <c r="C74" s="3">
        <v>45644.6275231481</v>
      </c>
      <c r="D74" s="2" t="s">
        <v>25</v>
      </c>
      <c r="E74" s="2" t="s">
        <v>41</v>
      </c>
      <c r="F74" s="2" t="s">
        <v>77</v>
      </c>
      <c r="G74" s="2" t="s">
        <v>120</v>
      </c>
      <c r="H74" s="2" t="s">
        <v>29</v>
      </c>
      <c r="I74" s="2" t="s">
        <v>30</v>
      </c>
      <c r="J74" s="2" t="s">
        <v>52</v>
      </c>
      <c r="K74" s="2" t="s">
        <v>33</v>
      </c>
      <c r="L74" s="2" t="s">
        <v>33</v>
      </c>
      <c r="M74" s="2" t="s">
        <v>33</v>
      </c>
      <c r="N74" s="2" t="s">
        <v>33</v>
      </c>
      <c r="O74" s="2" t="s">
        <v>33</v>
      </c>
      <c r="P74" s="2" t="s">
        <v>33</v>
      </c>
      <c r="Q74" s="2" t="s">
        <v>52</v>
      </c>
      <c r="R74" s="2" t="s">
        <v>52</v>
      </c>
      <c r="S74" s="2" t="s">
        <v>129</v>
      </c>
      <c r="T74" s="2" t="s">
        <v>35</v>
      </c>
      <c r="U74" s="2" t="s">
        <v>45</v>
      </c>
      <c r="V74" s="2" t="s">
        <v>37</v>
      </c>
      <c r="W74" s="2" t="s">
        <v>125</v>
      </c>
      <c r="X74" s="2" t="s">
        <v>100</v>
      </c>
      <c r="Y74" s="2" t="s">
        <v>54</v>
      </c>
      <c r="AA74" s="3"/>
    </row>
    <row r="75" ht="14.25" customHeight="1">
      <c r="A75" s="2">
        <v>24.0</v>
      </c>
      <c r="B75" s="3">
        <v>45645.3089699074</v>
      </c>
      <c r="C75" s="3">
        <v>45645.3107291667</v>
      </c>
      <c r="D75" s="2" t="s">
        <v>25</v>
      </c>
      <c r="E75" s="2" t="s">
        <v>41</v>
      </c>
      <c r="F75" s="2" t="s">
        <v>77</v>
      </c>
      <c r="G75" s="2" t="s">
        <v>120</v>
      </c>
      <c r="H75" s="2" t="s">
        <v>128</v>
      </c>
      <c r="Y75" s="2" t="s">
        <v>40</v>
      </c>
      <c r="AA75" s="3"/>
    </row>
    <row r="76" ht="14.25" customHeight="1">
      <c r="A76" s="2">
        <v>25.0</v>
      </c>
      <c r="B76" s="3">
        <v>45653.8117476852</v>
      </c>
      <c r="C76" s="3">
        <v>45653.8135763889</v>
      </c>
      <c r="D76" s="2" t="s">
        <v>25</v>
      </c>
      <c r="E76" s="2" t="s">
        <v>41</v>
      </c>
      <c r="F76" s="2" t="s">
        <v>122</v>
      </c>
      <c r="G76" s="2" t="s">
        <v>120</v>
      </c>
      <c r="H76" s="2" t="s">
        <v>29</v>
      </c>
      <c r="I76" s="2" t="s">
        <v>165</v>
      </c>
      <c r="J76" s="2" t="s">
        <v>33</v>
      </c>
      <c r="K76" s="2" t="s">
        <v>33</v>
      </c>
      <c r="L76" s="2" t="s">
        <v>33</v>
      </c>
      <c r="M76" s="2" t="s">
        <v>33</v>
      </c>
      <c r="N76" s="2" t="s">
        <v>33</v>
      </c>
      <c r="O76" s="2" t="s">
        <v>33</v>
      </c>
      <c r="P76" s="2" t="s">
        <v>33</v>
      </c>
      <c r="Q76" s="2" t="s">
        <v>51</v>
      </c>
      <c r="R76" s="2" t="s">
        <v>33</v>
      </c>
      <c r="S76" s="2" t="s">
        <v>44</v>
      </c>
      <c r="T76" s="2" t="s">
        <v>35</v>
      </c>
      <c r="U76" s="2" t="s">
        <v>45</v>
      </c>
      <c r="V76" s="2" t="s">
        <v>37</v>
      </c>
      <c r="W76" s="2" t="s">
        <v>63</v>
      </c>
      <c r="X76" s="2" t="s">
        <v>166</v>
      </c>
      <c r="Y76" s="2" t="s">
        <v>54</v>
      </c>
      <c r="AA76" s="3"/>
    </row>
    <row r="77" ht="14.25" customHeight="1">
      <c r="A77" s="2">
        <v>1.0</v>
      </c>
      <c r="B77" s="3">
        <v>45610.4882175926</v>
      </c>
      <c r="C77" s="3">
        <v>45610.4963425926</v>
      </c>
      <c r="D77" s="2" t="s">
        <v>25</v>
      </c>
      <c r="E77" s="2" t="s">
        <v>26</v>
      </c>
      <c r="F77" s="2" t="s">
        <v>122</v>
      </c>
      <c r="G77" s="2" t="s">
        <v>120</v>
      </c>
      <c r="H77" s="2" t="s">
        <v>29</v>
      </c>
      <c r="I77" s="2" t="s">
        <v>133</v>
      </c>
      <c r="J77" s="2" t="s">
        <v>33</v>
      </c>
      <c r="K77" s="2" t="s">
        <v>33</v>
      </c>
      <c r="L77" s="2" t="s">
        <v>33</v>
      </c>
      <c r="M77" s="2" t="s">
        <v>33</v>
      </c>
      <c r="N77" s="2" t="s">
        <v>33</v>
      </c>
      <c r="O77" s="2" t="s">
        <v>33</v>
      </c>
      <c r="P77" s="2" t="s">
        <v>33</v>
      </c>
      <c r="Q77" s="2" t="s">
        <v>33</v>
      </c>
      <c r="R77" s="2" t="s">
        <v>33</v>
      </c>
      <c r="S77" s="2" t="s">
        <v>44</v>
      </c>
      <c r="T77" s="2" t="s">
        <v>35</v>
      </c>
      <c r="U77" s="2" t="s">
        <v>36</v>
      </c>
      <c r="V77" s="2" t="s">
        <v>37</v>
      </c>
      <c r="W77" s="2" t="s">
        <v>38</v>
      </c>
      <c r="X77" s="2" t="s">
        <v>137</v>
      </c>
      <c r="Y77" s="2" t="s">
        <v>54</v>
      </c>
      <c r="AA77" s="3"/>
    </row>
    <row r="78" ht="14.25" customHeight="1">
      <c r="A78" s="2">
        <v>2.0</v>
      </c>
      <c r="B78" s="3">
        <v>45610.5524652778</v>
      </c>
      <c r="C78" s="3">
        <v>45610.5541898148</v>
      </c>
      <c r="D78" s="2" t="s">
        <v>25</v>
      </c>
      <c r="E78" s="2" t="s">
        <v>26</v>
      </c>
      <c r="F78" s="2" t="s">
        <v>167</v>
      </c>
      <c r="G78" s="2" t="s">
        <v>28</v>
      </c>
      <c r="H78" s="2" t="s">
        <v>29</v>
      </c>
      <c r="I78" s="2" t="s">
        <v>60</v>
      </c>
      <c r="J78" s="2" t="s">
        <v>51</v>
      </c>
      <c r="K78" s="2" t="s">
        <v>33</v>
      </c>
      <c r="L78" s="2" t="s">
        <v>52</v>
      </c>
      <c r="M78" s="2" t="s">
        <v>52</v>
      </c>
      <c r="N78" s="2" t="s">
        <v>31</v>
      </c>
      <c r="O78" s="2" t="s">
        <v>33</v>
      </c>
      <c r="P78" s="2" t="s">
        <v>33</v>
      </c>
      <c r="Q78" s="2" t="s">
        <v>51</v>
      </c>
      <c r="R78" s="2" t="s">
        <v>33</v>
      </c>
      <c r="S78" s="2" t="s">
        <v>111</v>
      </c>
      <c r="T78" s="2" t="s">
        <v>35</v>
      </c>
      <c r="U78" s="2" t="s">
        <v>45</v>
      </c>
      <c r="V78" s="2" t="s">
        <v>37</v>
      </c>
      <c r="W78" s="2" t="s">
        <v>38</v>
      </c>
      <c r="X78" s="2" t="s">
        <v>100</v>
      </c>
      <c r="Y78" s="2" t="s">
        <v>168</v>
      </c>
      <c r="AA78" s="3"/>
    </row>
    <row r="79" ht="14.25" customHeight="1">
      <c r="A79" s="2">
        <v>3.0</v>
      </c>
      <c r="B79" s="3">
        <v>45610.6023726852</v>
      </c>
      <c r="C79" s="3">
        <v>45610.6065509259</v>
      </c>
      <c r="D79" s="2" t="s">
        <v>25</v>
      </c>
      <c r="E79" s="2" t="s">
        <v>26</v>
      </c>
      <c r="F79" s="2" t="s">
        <v>167</v>
      </c>
      <c r="G79" s="2" t="s">
        <v>28</v>
      </c>
      <c r="H79" s="2" t="s">
        <v>29</v>
      </c>
      <c r="I79" s="2" t="s">
        <v>113</v>
      </c>
      <c r="J79" s="2" t="s">
        <v>52</v>
      </c>
      <c r="K79" s="2" t="s">
        <v>33</v>
      </c>
      <c r="L79" s="2" t="s">
        <v>33</v>
      </c>
      <c r="M79" s="2" t="s">
        <v>32</v>
      </c>
      <c r="N79" s="2" t="s">
        <v>33</v>
      </c>
      <c r="O79" s="2" t="s">
        <v>32</v>
      </c>
      <c r="P79" s="2" t="s">
        <v>32</v>
      </c>
      <c r="Q79" s="2" t="s">
        <v>52</v>
      </c>
      <c r="R79" s="2" t="s">
        <v>33</v>
      </c>
      <c r="S79" s="2" t="s">
        <v>69</v>
      </c>
      <c r="T79" s="2" t="s">
        <v>35</v>
      </c>
      <c r="U79" s="2" t="s">
        <v>36</v>
      </c>
      <c r="V79" s="2" t="s">
        <v>37</v>
      </c>
      <c r="W79" s="2" t="s">
        <v>38</v>
      </c>
      <c r="X79" s="2" t="s">
        <v>100</v>
      </c>
      <c r="Y79" s="2" t="s">
        <v>168</v>
      </c>
      <c r="AA79" s="3"/>
    </row>
    <row r="80" ht="14.25" customHeight="1">
      <c r="A80" s="2">
        <v>4.0</v>
      </c>
      <c r="B80" s="3">
        <v>45610.4959953704</v>
      </c>
      <c r="C80" s="3">
        <v>45610.7823842593</v>
      </c>
      <c r="D80" s="2" t="s">
        <v>25</v>
      </c>
      <c r="E80" s="2" t="s">
        <v>26</v>
      </c>
      <c r="F80" s="2" t="s">
        <v>42</v>
      </c>
      <c r="G80" s="2" t="s">
        <v>28</v>
      </c>
      <c r="H80" s="2" t="s">
        <v>29</v>
      </c>
      <c r="I80" s="2" t="s">
        <v>60</v>
      </c>
      <c r="J80" s="2" t="s">
        <v>31</v>
      </c>
      <c r="K80" s="2" t="s">
        <v>32</v>
      </c>
      <c r="L80" s="2" t="s">
        <v>33</v>
      </c>
      <c r="M80" s="2" t="s">
        <v>32</v>
      </c>
      <c r="N80" s="2" t="s">
        <v>33</v>
      </c>
      <c r="O80" s="2" t="s">
        <v>32</v>
      </c>
      <c r="P80" s="2" t="s">
        <v>32</v>
      </c>
      <c r="Q80" s="2" t="s">
        <v>31</v>
      </c>
      <c r="R80" s="2" t="s">
        <v>31</v>
      </c>
      <c r="S80" s="2" t="s">
        <v>69</v>
      </c>
      <c r="T80" s="2" t="s">
        <v>93</v>
      </c>
      <c r="U80" s="2" t="s">
        <v>117</v>
      </c>
      <c r="V80" s="2" t="s">
        <v>37</v>
      </c>
      <c r="W80" s="2" t="s">
        <v>38</v>
      </c>
      <c r="X80" s="2" t="s">
        <v>81</v>
      </c>
      <c r="Y80" s="2" t="s">
        <v>168</v>
      </c>
      <c r="AA80" s="3"/>
    </row>
    <row r="81" ht="14.25" customHeight="1">
      <c r="A81" s="2">
        <v>5.0</v>
      </c>
      <c r="B81" s="3">
        <v>45611.4952893518</v>
      </c>
      <c r="C81" s="3">
        <v>45611.4992592593</v>
      </c>
      <c r="D81" s="2" t="s">
        <v>25</v>
      </c>
      <c r="E81" s="2" t="s">
        <v>26</v>
      </c>
      <c r="F81" s="2" t="s">
        <v>42</v>
      </c>
      <c r="G81" s="2" t="s">
        <v>28</v>
      </c>
      <c r="H81" s="2" t="s">
        <v>29</v>
      </c>
      <c r="I81" s="2" t="s">
        <v>169</v>
      </c>
      <c r="J81" s="2" t="s">
        <v>33</v>
      </c>
      <c r="K81" s="2" t="s">
        <v>33</v>
      </c>
      <c r="L81" s="2" t="s">
        <v>33</v>
      </c>
      <c r="M81" s="2" t="s">
        <v>33</v>
      </c>
      <c r="N81" s="2" t="s">
        <v>33</v>
      </c>
      <c r="O81" s="2" t="s">
        <v>33</v>
      </c>
      <c r="P81" s="2" t="s">
        <v>33</v>
      </c>
      <c r="Q81" s="2" t="s">
        <v>31</v>
      </c>
      <c r="R81" s="2" t="s">
        <v>31</v>
      </c>
      <c r="S81" s="2" t="s">
        <v>44</v>
      </c>
      <c r="T81" s="2" t="s">
        <v>35</v>
      </c>
      <c r="U81" s="2" t="s">
        <v>36</v>
      </c>
      <c r="V81" s="2" t="s">
        <v>37</v>
      </c>
      <c r="W81" s="2" t="s">
        <v>38</v>
      </c>
      <c r="X81" s="2" t="s">
        <v>170</v>
      </c>
      <c r="Y81" s="2" t="s">
        <v>108</v>
      </c>
      <c r="AA81" s="3"/>
    </row>
    <row r="82" ht="14.25" customHeight="1">
      <c r="A82" s="2">
        <v>6.0</v>
      </c>
      <c r="B82" s="3">
        <v>45613.7580671296</v>
      </c>
      <c r="C82" s="3">
        <v>45613.7614467593</v>
      </c>
      <c r="D82" s="2" t="s">
        <v>25</v>
      </c>
      <c r="E82" s="2" t="s">
        <v>26</v>
      </c>
      <c r="F82" s="2" t="s">
        <v>122</v>
      </c>
      <c r="G82" s="2" t="s">
        <v>28</v>
      </c>
      <c r="H82" s="2" t="s">
        <v>29</v>
      </c>
      <c r="I82" s="2" t="s">
        <v>171</v>
      </c>
      <c r="N82" s="2" t="s">
        <v>31</v>
      </c>
      <c r="Q82" s="2" t="s">
        <v>51</v>
      </c>
      <c r="S82" s="2" t="s">
        <v>44</v>
      </c>
      <c r="T82" s="2" t="s">
        <v>35</v>
      </c>
      <c r="U82" s="2" t="s">
        <v>36</v>
      </c>
      <c r="V82" s="2" t="s">
        <v>37</v>
      </c>
      <c r="W82" s="2" t="s">
        <v>38</v>
      </c>
      <c r="X82" s="2" t="s">
        <v>81</v>
      </c>
      <c r="Y82" s="2" t="s">
        <v>54</v>
      </c>
      <c r="AA82" s="3"/>
    </row>
    <row r="83" ht="14.25" customHeight="1">
      <c r="A83" s="2">
        <v>7.0</v>
      </c>
      <c r="B83" s="3">
        <v>45615.3753356481</v>
      </c>
      <c r="C83" s="3">
        <v>45615.3775694444</v>
      </c>
      <c r="D83" s="2" t="s">
        <v>25</v>
      </c>
      <c r="E83" s="2" t="s">
        <v>26</v>
      </c>
      <c r="F83" s="2" t="s">
        <v>122</v>
      </c>
      <c r="G83" s="2" t="s">
        <v>28</v>
      </c>
      <c r="H83" s="2" t="s">
        <v>29</v>
      </c>
      <c r="I83" s="2" t="s">
        <v>172</v>
      </c>
      <c r="J83" s="2" t="s">
        <v>51</v>
      </c>
      <c r="K83" s="2" t="s">
        <v>33</v>
      </c>
      <c r="L83" s="2" t="s">
        <v>52</v>
      </c>
      <c r="M83" s="2" t="s">
        <v>33</v>
      </c>
      <c r="N83" s="2" t="s">
        <v>52</v>
      </c>
      <c r="O83" s="2" t="s">
        <v>33</v>
      </c>
      <c r="P83" s="2" t="s">
        <v>32</v>
      </c>
      <c r="Q83" s="2" t="s">
        <v>31</v>
      </c>
      <c r="R83" s="2" t="s">
        <v>51</v>
      </c>
      <c r="S83" s="2" t="s">
        <v>111</v>
      </c>
      <c r="T83" s="2" t="s">
        <v>35</v>
      </c>
      <c r="U83" s="2" t="s">
        <v>36</v>
      </c>
      <c r="V83" s="2" t="s">
        <v>46</v>
      </c>
      <c r="W83" s="2" t="s">
        <v>63</v>
      </c>
      <c r="X83" s="2" t="s">
        <v>144</v>
      </c>
      <c r="Y83" s="2" t="s">
        <v>108</v>
      </c>
      <c r="AA83" s="3"/>
    </row>
    <row r="84" ht="14.25" customHeight="1">
      <c r="A84" s="2">
        <v>1.0</v>
      </c>
      <c r="B84" s="3">
        <v>45615.5893402778</v>
      </c>
      <c r="C84" s="3">
        <v>45615.5918171296</v>
      </c>
      <c r="D84" s="2" t="s">
        <v>25</v>
      </c>
      <c r="E84" s="2" t="s">
        <v>26</v>
      </c>
      <c r="F84" s="2" t="s">
        <v>173</v>
      </c>
      <c r="G84" s="2" t="s">
        <v>28</v>
      </c>
      <c r="H84" s="2" t="s">
        <v>29</v>
      </c>
      <c r="I84" s="2" t="s">
        <v>30</v>
      </c>
      <c r="Q84" s="2" t="s">
        <v>31</v>
      </c>
      <c r="R84" s="2" t="s">
        <v>52</v>
      </c>
      <c r="S84" s="2" t="s">
        <v>44</v>
      </c>
      <c r="T84" s="2" t="s">
        <v>35</v>
      </c>
      <c r="U84" s="2" t="s">
        <v>163</v>
      </c>
      <c r="V84" s="2" t="s">
        <v>37</v>
      </c>
      <c r="W84" s="2" t="s">
        <v>125</v>
      </c>
      <c r="X84" s="2" t="s">
        <v>174</v>
      </c>
      <c r="Y84" s="2" t="s">
        <v>54</v>
      </c>
      <c r="AA84" s="3"/>
    </row>
    <row r="85" ht="14.25" customHeight="1">
      <c r="A85" s="2">
        <v>2.0</v>
      </c>
      <c r="B85" s="3">
        <v>45615.6026736111</v>
      </c>
      <c r="C85" s="3">
        <v>45615.6042708333</v>
      </c>
      <c r="D85" s="2" t="s">
        <v>25</v>
      </c>
      <c r="E85" s="2" t="s">
        <v>41</v>
      </c>
      <c r="F85" s="2" t="s">
        <v>42</v>
      </c>
      <c r="G85" s="2" t="s">
        <v>138</v>
      </c>
      <c r="H85" s="2" t="s">
        <v>29</v>
      </c>
      <c r="I85" s="2" t="s">
        <v>175</v>
      </c>
      <c r="J85" s="2" t="s">
        <v>31</v>
      </c>
      <c r="K85" s="2" t="s">
        <v>33</v>
      </c>
      <c r="L85" s="2" t="s">
        <v>52</v>
      </c>
      <c r="M85" s="2" t="s">
        <v>32</v>
      </c>
      <c r="N85" s="2" t="s">
        <v>33</v>
      </c>
      <c r="O85" s="2" t="s">
        <v>33</v>
      </c>
      <c r="P85" s="2" t="s">
        <v>33</v>
      </c>
      <c r="Q85" s="2" t="s">
        <v>33</v>
      </c>
      <c r="R85" s="2" t="s">
        <v>52</v>
      </c>
      <c r="S85" s="2" t="s">
        <v>69</v>
      </c>
      <c r="T85" s="2" t="s">
        <v>35</v>
      </c>
      <c r="U85" s="2" t="s">
        <v>36</v>
      </c>
      <c r="V85" s="2" t="s">
        <v>37</v>
      </c>
      <c r="W85" s="2" t="s">
        <v>38</v>
      </c>
      <c r="X85" s="2" t="s">
        <v>53</v>
      </c>
      <c r="Y85" s="2" t="s">
        <v>176</v>
      </c>
      <c r="AA85" s="3"/>
    </row>
    <row r="86" ht="14.25" customHeight="1">
      <c r="A86" s="2">
        <v>3.0</v>
      </c>
      <c r="B86" s="3">
        <v>45615.6209490741</v>
      </c>
      <c r="C86" s="3">
        <v>45615.6218287037</v>
      </c>
      <c r="D86" s="2" t="s">
        <v>25</v>
      </c>
      <c r="E86" s="2" t="s">
        <v>26</v>
      </c>
      <c r="F86" s="2" t="s">
        <v>122</v>
      </c>
      <c r="G86" s="2" t="s">
        <v>138</v>
      </c>
      <c r="H86" s="2" t="s">
        <v>29</v>
      </c>
      <c r="I86" s="2" t="s">
        <v>177</v>
      </c>
      <c r="J86" s="2" t="s">
        <v>51</v>
      </c>
      <c r="N86" s="2" t="s">
        <v>51</v>
      </c>
      <c r="S86" s="2" t="s">
        <v>44</v>
      </c>
      <c r="T86" s="2" t="s">
        <v>35</v>
      </c>
      <c r="U86" s="2" t="s">
        <v>36</v>
      </c>
      <c r="V86" s="2" t="s">
        <v>37</v>
      </c>
      <c r="W86" s="2" t="s">
        <v>38</v>
      </c>
      <c r="Y86" s="2" t="s">
        <v>54</v>
      </c>
      <c r="AA86" s="3"/>
    </row>
    <row r="87" ht="14.25" customHeight="1">
      <c r="A87" s="2">
        <v>4.0</v>
      </c>
      <c r="B87" s="3">
        <v>45615.6376041667</v>
      </c>
      <c r="C87" s="3">
        <v>45615.6397106481</v>
      </c>
      <c r="D87" s="2" t="s">
        <v>25</v>
      </c>
      <c r="E87" s="2" t="s">
        <v>26</v>
      </c>
      <c r="F87" s="2" t="s">
        <v>77</v>
      </c>
      <c r="G87" s="2" t="s">
        <v>138</v>
      </c>
      <c r="H87" s="2" t="s">
        <v>128</v>
      </c>
      <c r="Y87" s="2" t="s">
        <v>54</v>
      </c>
      <c r="AA87" s="3"/>
    </row>
    <row r="88" ht="14.25" customHeight="1">
      <c r="A88" s="2">
        <v>5.0</v>
      </c>
      <c r="B88" s="3">
        <v>45615.6472569444</v>
      </c>
      <c r="C88" s="3">
        <v>45615.6515856481</v>
      </c>
      <c r="D88" s="2" t="s">
        <v>25</v>
      </c>
      <c r="E88" s="2" t="s">
        <v>26</v>
      </c>
      <c r="F88" s="2" t="s">
        <v>42</v>
      </c>
      <c r="G88" s="2" t="s">
        <v>138</v>
      </c>
      <c r="H88" s="2" t="s">
        <v>29</v>
      </c>
      <c r="I88" s="2" t="s">
        <v>178</v>
      </c>
      <c r="J88" s="2" t="s">
        <v>52</v>
      </c>
      <c r="Q88" s="2" t="s">
        <v>52</v>
      </c>
      <c r="S88" s="2" t="s">
        <v>44</v>
      </c>
      <c r="T88" s="2" t="s">
        <v>35</v>
      </c>
      <c r="U88" s="2" t="s">
        <v>36</v>
      </c>
      <c r="V88" s="2" t="s">
        <v>37</v>
      </c>
      <c r="W88" s="2" t="s">
        <v>38</v>
      </c>
      <c r="X88" s="2" t="s">
        <v>179</v>
      </c>
      <c r="Y88" s="2" t="s">
        <v>180</v>
      </c>
      <c r="AA88" s="3"/>
    </row>
    <row r="89" ht="14.25" customHeight="1">
      <c r="A89" s="2">
        <v>1.0</v>
      </c>
      <c r="B89" s="3">
        <v>45612.8770601852</v>
      </c>
      <c r="C89" s="3">
        <v>45612.8791666667</v>
      </c>
      <c r="D89" s="2" t="s">
        <v>25</v>
      </c>
      <c r="E89" s="2" t="s">
        <v>41</v>
      </c>
      <c r="F89" s="2" t="s">
        <v>77</v>
      </c>
      <c r="G89" s="2" t="s">
        <v>138</v>
      </c>
      <c r="H89" s="2" t="s">
        <v>29</v>
      </c>
      <c r="I89" s="2" t="s">
        <v>147</v>
      </c>
      <c r="J89" s="2" t="s">
        <v>52</v>
      </c>
      <c r="K89" s="2" t="s">
        <v>32</v>
      </c>
      <c r="L89" s="2" t="s">
        <v>33</v>
      </c>
      <c r="M89" s="2" t="s">
        <v>32</v>
      </c>
      <c r="N89" s="2" t="s">
        <v>33</v>
      </c>
      <c r="O89" s="2" t="s">
        <v>33</v>
      </c>
      <c r="P89" s="2" t="s">
        <v>32</v>
      </c>
      <c r="Q89" s="2" t="s">
        <v>33</v>
      </c>
      <c r="R89" s="2" t="s">
        <v>32</v>
      </c>
      <c r="S89" s="2" t="s">
        <v>129</v>
      </c>
      <c r="T89" s="2" t="s">
        <v>35</v>
      </c>
      <c r="U89" s="2" t="s">
        <v>45</v>
      </c>
      <c r="V89" s="2" t="s">
        <v>46</v>
      </c>
      <c r="W89" s="2" t="s">
        <v>125</v>
      </c>
      <c r="X89" s="2" t="s">
        <v>81</v>
      </c>
      <c r="Y89" s="2" t="s">
        <v>54</v>
      </c>
      <c r="AA89" s="3"/>
    </row>
    <row r="90" ht="14.25" customHeight="1">
      <c r="A90" s="2">
        <v>2.0</v>
      </c>
      <c r="B90" s="3">
        <v>45646.650474537</v>
      </c>
      <c r="C90" s="3">
        <v>45646.6508217593</v>
      </c>
      <c r="D90" s="2" t="s">
        <v>25</v>
      </c>
      <c r="E90" s="2" t="s">
        <v>26</v>
      </c>
      <c r="F90" s="2" t="s">
        <v>42</v>
      </c>
      <c r="G90" s="2" t="s">
        <v>138</v>
      </c>
      <c r="H90" s="2" t="s">
        <v>29</v>
      </c>
      <c r="I90" s="2" t="s">
        <v>169</v>
      </c>
      <c r="J90" s="2" t="s">
        <v>31</v>
      </c>
      <c r="K90" s="2" t="s">
        <v>33</v>
      </c>
      <c r="L90" s="2" t="s">
        <v>33</v>
      </c>
      <c r="M90" s="2" t="s">
        <v>33</v>
      </c>
      <c r="N90" s="2" t="s">
        <v>33</v>
      </c>
      <c r="O90" s="2" t="s">
        <v>33</v>
      </c>
      <c r="P90" s="2" t="s">
        <v>33</v>
      </c>
      <c r="Q90" s="2" t="s">
        <v>52</v>
      </c>
      <c r="R90" s="2" t="s">
        <v>52</v>
      </c>
      <c r="S90" s="2" t="s">
        <v>34</v>
      </c>
      <c r="T90" s="2" t="s">
        <v>35</v>
      </c>
      <c r="U90" s="2" t="s">
        <v>130</v>
      </c>
      <c r="V90" s="2" t="s">
        <v>37</v>
      </c>
      <c r="W90" s="2" t="s">
        <v>38</v>
      </c>
      <c r="X90" s="2" t="s">
        <v>76</v>
      </c>
      <c r="Y90" s="2" t="s">
        <v>54</v>
      </c>
      <c r="AA90" s="3"/>
    </row>
    <row r="91" ht="14.25" customHeight="1">
      <c r="A91" s="2">
        <v>3.0</v>
      </c>
      <c r="B91" s="3">
        <v>45646.6514930556</v>
      </c>
      <c r="C91" s="3">
        <v>45646.6526851852</v>
      </c>
      <c r="D91" s="2" t="s">
        <v>25</v>
      </c>
      <c r="E91" s="2" t="s">
        <v>41</v>
      </c>
      <c r="F91" s="2" t="s">
        <v>122</v>
      </c>
      <c r="G91" s="2" t="s">
        <v>181</v>
      </c>
      <c r="H91" s="2" t="s">
        <v>128</v>
      </c>
      <c r="Y91" s="2" t="s">
        <v>54</v>
      </c>
      <c r="AA91" s="3"/>
    </row>
    <row r="92" ht="14.25" customHeight="1">
      <c r="A92" s="2">
        <v>4.0</v>
      </c>
      <c r="B92" s="3">
        <v>45646.6518287037</v>
      </c>
      <c r="C92" s="3">
        <v>45646.6533449074</v>
      </c>
      <c r="D92" s="2" t="s">
        <v>25</v>
      </c>
      <c r="E92" s="2" t="s">
        <v>41</v>
      </c>
      <c r="F92" s="2" t="s">
        <v>49</v>
      </c>
      <c r="G92" s="2" t="s">
        <v>138</v>
      </c>
      <c r="H92" s="2" t="s">
        <v>29</v>
      </c>
      <c r="I92" s="2" t="s">
        <v>182</v>
      </c>
      <c r="J92" s="2" t="s">
        <v>52</v>
      </c>
      <c r="K92" s="2" t="s">
        <v>51</v>
      </c>
      <c r="L92" s="2" t="s">
        <v>52</v>
      </c>
      <c r="M92" s="2" t="s">
        <v>52</v>
      </c>
      <c r="N92" s="2" t="s">
        <v>52</v>
      </c>
      <c r="O92" s="2" t="s">
        <v>33</v>
      </c>
      <c r="P92" s="2" t="s">
        <v>32</v>
      </c>
      <c r="Q92" s="2" t="s">
        <v>33</v>
      </c>
      <c r="R92" s="2" t="s">
        <v>52</v>
      </c>
      <c r="S92" s="2" t="s">
        <v>34</v>
      </c>
      <c r="T92" s="2" t="s">
        <v>183</v>
      </c>
      <c r="U92" s="2" t="s">
        <v>184</v>
      </c>
      <c r="V92" s="2" t="s">
        <v>46</v>
      </c>
      <c r="W92" s="2" t="s">
        <v>63</v>
      </c>
      <c r="X92" s="2" t="s">
        <v>185</v>
      </c>
      <c r="Y92" s="2" t="s">
        <v>186</v>
      </c>
      <c r="AA92" s="3"/>
    </row>
    <row r="93" ht="14.25" customHeight="1">
      <c r="A93" s="2">
        <v>5.0</v>
      </c>
      <c r="B93" s="3">
        <v>45646.6535185185</v>
      </c>
      <c r="C93" s="3">
        <v>45646.655</v>
      </c>
      <c r="D93" s="2" t="s">
        <v>25</v>
      </c>
      <c r="E93" s="2" t="s">
        <v>41</v>
      </c>
      <c r="F93" s="2" t="s">
        <v>122</v>
      </c>
      <c r="G93" s="2" t="s">
        <v>138</v>
      </c>
      <c r="H93" s="2" t="s">
        <v>29</v>
      </c>
      <c r="I93" s="2" t="s">
        <v>187</v>
      </c>
      <c r="J93" s="2" t="s">
        <v>31</v>
      </c>
      <c r="K93" s="2" t="s">
        <v>32</v>
      </c>
      <c r="L93" s="2" t="s">
        <v>52</v>
      </c>
      <c r="M93" s="2" t="s">
        <v>33</v>
      </c>
      <c r="N93" s="2" t="s">
        <v>33</v>
      </c>
      <c r="O93" s="2" t="s">
        <v>33</v>
      </c>
      <c r="P93" s="2" t="s">
        <v>32</v>
      </c>
      <c r="Q93" s="2" t="s">
        <v>33</v>
      </c>
      <c r="R93" s="2" t="s">
        <v>52</v>
      </c>
      <c r="S93" s="2" t="s">
        <v>129</v>
      </c>
      <c r="T93" s="2" t="s">
        <v>35</v>
      </c>
      <c r="U93" s="2" t="s">
        <v>117</v>
      </c>
      <c r="V93" s="2" t="s">
        <v>37</v>
      </c>
      <c r="W93" s="2" t="s">
        <v>38</v>
      </c>
      <c r="X93" s="2" t="s">
        <v>58</v>
      </c>
      <c r="Y93" s="2" t="s">
        <v>54</v>
      </c>
      <c r="AA93" s="3"/>
    </row>
    <row r="94" ht="14.25" customHeight="1">
      <c r="A94" s="2">
        <v>6.0</v>
      </c>
      <c r="B94" s="3">
        <v>45646.6561805556</v>
      </c>
      <c r="C94" s="3">
        <v>45646.6575810185</v>
      </c>
      <c r="D94" s="2" t="s">
        <v>25</v>
      </c>
      <c r="E94" s="2" t="s">
        <v>41</v>
      </c>
      <c r="F94" s="2" t="s">
        <v>122</v>
      </c>
      <c r="G94" s="2" t="s">
        <v>120</v>
      </c>
      <c r="H94" s="2" t="s">
        <v>128</v>
      </c>
      <c r="Y94" s="2" t="s">
        <v>54</v>
      </c>
      <c r="AA94" s="3"/>
    </row>
    <row r="95" ht="14.25" customHeight="1">
      <c r="A95" s="2">
        <v>7.0</v>
      </c>
      <c r="B95" s="3">
        <v>45646.6572569444</v>
      </c>
      <c r="C95" s="3">
        <v>45646.6597916667</v>
      </c>
      <c r="D95" s="2" t="s">
        <v>25</v>
      </c>
      <c r="E95" s="2" t="s">
        <v>41</v>
      </c>
      <c r="F95" s="2" t="s">
        <v>122</v>
      </c>
      <c r="G95" s="2" t="s">
        <v>138</v>
      </c>
      <c r="H95" s="2" t="s">
        <v>29</v>
      </c>
      <c r="I95" s="2" t="s">
        <v>172</v>
      </c>
      <c r="J95" s="2" t="s">
        <v>51</v>
      </c>
      <c r="N95" s="2" t="s">
        <v>31</v>
      </c>
      <c r="R95" s="2" t="s">
        <v>31</v>
      </c>
      <c r="S95" s="2" t="s">
        <v>44</v>
      </c>
      <c r="T95" s="2" t="s">
        <v>134</v>
      </c>
      <c r="U95" s="2" t="s">
        <v>36</v>
      </c>
      <c r="V95" s="2" t="s">
        <v>46</v>
      </c>
      <c r="W95" s="2" t="s">
        <v>63</v>
      </c>
      <c r="X95" s="2" t="s">
        <v>188</v>
      </c>
      <c r="Y95" s="2" t="s">
        <v>65</v>
      </c>
      <c r="AA95" s="3"/>
    </row>
    <row r="96" ht="14.25" customHeight="1">
      <c r="A96" s="2">
        <v>8.0</v>
      </c>
      <c r="B96" s="3">
        <v>45646.6581944444</v>
      </c>
      <c r="C96" s="3">
        <v>45646.6602546296</v>
      </c>
      <c r="D96" s="2" t="s">
        <v>25</v>
      </c>
      <c r="E96" s="2" t="s">
        <v>26</v>
      </c>
      <c r="F96" s="2" t="s">
        <v>122</v>
      </c>
      <c r="G96" s="2" t="s">
        <v>138</v>
      </c>
      <c r="H96" s="2" t="s">
        <v>29</v>
      </c>
      <c r="I96" s="2" t="s">
        <v>189</v>
      </c>
      <c r="J96" s="2" t="s">
        <v>52</v>
      </c>
      <c r="K96" s="2" t="s">
        <v>31</v>
      </c>
      <c r="M96" s="2" t="s">
        <v>33</v>
      </c>
      <c r="N96" s="2" t="s">
        <v>33</v>
      </c>
      <c r="O96" s="2" t="s">
        <v>33</v>
      </c>
      <c r="P96" s="2" t="s">
        <v>33</v>
      </c>
      <c r="Q96" s="2" t="s">
        <v>33</v>
      </c>
      <c r="R96" s="2" t="s">
        <v>52</v>
      </c>
      <c r="S96" s="2" t="s">
        <v>129</v>
      </c>
      <c r="T96" s="2" t="s">
        <v>35</v>
      </c>
      <c r="U96" s="2" t="s">
        <v>130</v>
      </c>
      <c r="V96" s="2" t="s">
        <v>46</v>
      </c>
      <c r="W96" s="2" t="s">
        <v>38</v>
      </c>
      <c r="X96" s="2" t="s">
        <v>190</v>
      </c>
      <c r="Y96" s="2" t="s">
        <v>54</v>
      </c>
      <c r="AA96" s="3"/>
    </row>
    <row r="97" ht="14.25" customHeight="1">
      <c r="A97" s="2">
        <v>9.0</v>
      </c>
      <c r="B97" s="3">
        <v>45646.6708333333</v>
      </c>
      <c r="C97" s="3">
        <v>45646.6719444444</v>
      </c>
      <c r="D97" s="2" t="s">
        <v>25</v>
      </c>
      <c r="E97" s="2" t="s">
        <v>41</v>
      </c>
      <c r="F97" s="2" t="s">
        <v>122</v>
      </c>
      <c r="G97" s="2" t="s">
        <v>120</v>
      </c>
      <c r="H97" s="2" t="s">
        <v>29</v>
      </c>
      <c r="I97" s="2" t="s">
        <v>30</v>
      </c>
      <c r="J97" s="2" t="s">
        <v>31</v>
      </c>
      <c r="K97" s="2" t="s">
        <v>32</v>
      </c>
      <c r="L97" s="2" t="s">
        <v>33</v>
      </c>
      <c r="M97" s="2" t="s">
        <v>32</v>
      </c>
      <c r="N97" s="2" t="s">
        <v>52</v>
      </c>
      <c r="O97" s="2" t="s">
        <v>33</v>
      </c>
      <c r="P97" s="2" t="s">
        <v>32</v>
      </c>
      <c r="Q97" s="2" t="s">
        <v>33</v>
      </c>
      <c r="R97" s="2" t="s">
        <v>33</v>
      </c>
      <c r="S97" s="2" t="s">
        <v>129</v>
      </c>
      <c r="T97" s="2" t="s">
        <v>35</v>
      </c>
      <c r="U97" s="2" t="s">
        <v>36</v>
      </c>
      <c r="V97" s="2" t="s">
        <v>37</v>
      </c>
      <c r="W97" s="2" t="s">
        <v>38</v>
      </c>
      <c r="X97" s="2" t="s">
        <v>137</v>
      </c>
      <c r="Y97" s="2" t="s">
        <v>54</v>
      </c>
      <c r="AA97" s="3"/>
    </row>
    <row r="98" ht="14.25" customHeight="1">
      <c r="A98" s="2">
        <v>10.0</v>
      </c>
      <c r="B98" s="3">
        <v>45646.6740625</v>
      </c>
      <c r="C98" s="3">
        <v>45646.6757175926</v>
      </c>
      <c r="D98" s="2" t="s">
        <v>25</v>
      </c>
      <c r="E98" s="2" t="s">
        <v>26</v>
      </c>
      <c r="F98" s="2" t="s">
        <v>122</v>
      </c>
      <c r="G98" s="2" t="s">
        <v>138</v>
      </c>
      <c r="H98" s="2" t="s">
        <v>29</v>
      </c>
      <c r="I98" s="2" t="s">
        <v>191</v>
      </c>
      <c r="J98" s="2" t="s">
        <v>52</v>
      </c>
      <c r="K98" s="2" t="s">
        <v>32</v>
      </c>
      <c r="L98" s="2" t="s">
        <v>33</v>
      </c>
      <c r="M98" s="2" t="s">
        <v>32</v>
      </c>
      <c r="N98" s="2" t="s">
        <v>33</v>
      </c>
      <c r="O98" s="2" t="s">
        <v>52</v>
      </c>
      <c r="P98" s="2" t="s">
        <v>32</v>
      </c>
      <c r="Q98" s="2" t="s">
        <v>33</v>
      </c>
      <c r="R98" s="2" t="s">
        <v>52</v>
      </c>
      <c r="S98" s="2" t="s">
        <v>129</v>
      </c>
      <c r="T98" s="2" t="s">
        <v>35</v>
      </c>
      <c r="U98" s="2" t="s">
        <v>36</v>
      </c>
      <c r="V98" s="2" t="s">
        <v>37</v>
      </c>
      <c r="W98" s="2" t="s">
        <v>38</v>
      </c>
      <c r="X98" s="2" t="s">
        <v>81</v>
      </c>
      <c r="Y98" s="2" t="s">
        <v>54</v>
      </c>
      <c r="AA98" s="3"/>
    </row>
    <row r="99" ht="14.25" customHeight="1">
      <c r="A99" s="2">
        <v>11.0</v>
      </c>
      <c r="B99" s="3">
        <v>45646.6884375</v>
      </c>
      <c r="C99" s="3">
        <v>45646.6899074074</v>
      </c>
      <c r="D99" s="2" t="s">
        <v>25</v>
      </c>
      <c r="E99" s="2" t="s">
        <v>41</v>
      </c>
      <c r="F99" s="2" t="s">
        <v>77</v>
      </c>
      <c r="G99" s="2" t="s">
        <v>138</v>
      </c>
      <c r="H99" s="2" t="s">
        <v>29</v>
      </c>
      <c r="I99" s="2" t="s">
        <v>192</v>
      </c>
      <c r="J99" s="2" t="s">
        <v>51</v>
      </c>
      <c r="K99" s="2" t="s">
        <v>33</v>
      </c>
      <c r="L99" s="2" t="s">
        <v>52</v>
      </c>
      <c r="M99" s="2" t="s">
        <v>31</v>
      </c>
      <c r="N99" s="2" t="s">
        <v>31</v>
      </c>
      <c r="O99" s="2" t="s">
        <v>33</v>
      </c>
      <c r="P99" s="2" t="s">
        <v>33</v>
      </c>
      <c r="Q99" s="2" t="s">
        <v>52</v>
      </c>
      <c r="R99" s="2" t="s">
        <v>33</v>
      </c>
      <c r="S99" s="2" t="s">
        <v>152</v>
      </c>
      <c r="T99" s="2" t="s">
        <v>35</v>
      </c>
      <c r="U99" s="2" t="s">
        <v>117</v>
      </c>
      <c r="V99" s="2" t="s">
        <v>37</v>
      </c>
      <c r="W99" s="2" t="s">
        <v>38</v>
      </c>
      <c r="X99" s="2" t="s">
        <v>188</v>
      </c>
      <c r="Y99" s="2" t="s">
        <v>108</v>
      </c>
      <c r="AA99" s="3"/>
    </row>
    <row r="100" ht="14.25" customHeight="1">
      <c r="A100" s="2">
        <v>12.0</v>
      </c>
      <c r="B100" s="3">
        <v>45646.7150231481</v>
      </c>
      <c r="C100" s="3">
        <v>45646.7167592593</v>
      </c>
      <c r="D100" s="2" t="s">
        <v>25</v>
      </c>
      <c r="E100" s="2" t="s">
        <v>41</v>
      </c>
      <c r="F100" s="2" t="s">
        <v>122</v>
      </c>
      <c r="G100" s="2" t="s">
        <v>28</v>
      </c>
      <c r="H100" s="2" t="s">
        <v>29</v>
      </c>
      <c r="I100" s="2" t="s">
        <v>193</v>
      </c>
      <c r="J100" s="2" t="s">
        <v>51</v>
      </c>
      <c r="R100" s="2" t="s">
        <v>52</v>
      </c>
      <c r="S100" s="2" t="s">
        <v>34</v>
      </c>
      <c r="T100" s="2" t="s">
        <v>35</v>
      </c>
      <c r="U100" s="2" t="s">
        <v>130</v>
      </c>
      <c r="V100" s="2" t="s">
        <v>37</v>
      </c>
      <c r="W100" s="2" t="s">
        <v>38</v>
      </c>
      <c r="X100" s="2" t="s">
        <v>144</v>
      </c>
      <c r="Y100" s="2" t="s">
        <v>65</v>
      </c>
      <c r="AA100" s="3"/>
    </row>
    <row r="101" ht="14.25" customHeight="1">
      <c r="A101" s="2">
        <v>13.0</v>
      </c>
      <c r="B101" s="3">
        <v>45646.6665509259</v>
      </c>
      <c r="C101" s="3">
        <v>45646.7492824074</v>
      </c>
      <c r="D101" s="2" t="s">
        <v>25</v>
      </c>
      <c r="E101" s="2" t="s">
        <v>41</v>
      </c>
      <c r="F101" s="2" t="s">
        <v>122</v>
      </c>
      <c r="G101" s="2" t="s">
        <v>28</v>
      </c>
      <c r="H101" s="2" t="s">
        <v>29</v>
      </c>
      <c r="I101" s="2" t="s">
        <v>79</v>
      </c>
      <c r="J101" s="2" t="s">
        <v>52</v>
      </c>
      <c r="K101" s="2" t="s">
        <v>33</v>
      </c>
      <c r="L101" s="2" t="s">
        <v>33</v>
      </c>
      <c r="M101" s="2" t="s">
        <v>33</v>
      </c>
      <c r="N101" s="2" t="s">
        <v>33</v>
      </c>
      <c r="O101" s="2" t="s">
        <v>33</v>
      </c>
      <c r="P101" s="2" t="s">
        <v>33</v>
      </c>
      <c r="Q101" s="2" t="s">
        <v>52</v>
      </c>
      <c r="R101" s="2" t="s">
        <v>33</v>
      </c>
      <c r="S101" s="2" t="s">
        <v>44</v>
      </c>
      <c r="T101" s="2" t="s">
        <v>35</v>
      </c>
      <c r="U101" s="2" t="s">
        <v>36</v>
      </c>
      <c r="V101" s="2" t="s">
        <v>37</v>
      </c>
      <c r="W101" s="2" t="s">
        <v>125</v>
      </c>
      <c r="X101" s="2" t="s">
        <v>159</v>
      </c>
      <c r="Y101" s="2" t="s">
        <v>54</v>
      </c>
      <c r="AA101" s="3"/>
    </row>
    <row r="102" ht="14.25" customHeight="1">
      <c r="A102" s="2">
        <v>14.0</v>
      </c>
      <c r="B102" s="3">
        <v>45646.7562731481</v>
      </c>
      <c r="C102" s="3">
        <v>45646.7575347222</v>
      </c>
      <c r="D102" s="2" t="s">
        <v>25</v>
      </c>
      <c r="E102" s="2" t="s">
        <v>41</v>
      </c>
      <c r="F102" s="2" t="s">
        <v>42</v>
      </c>
      <c r="G102" s="2" t="s">
        <v>138</v>
      </c>
      <c r="H102" s="2" t="s">
        <v>29</v>
      </c>
      <c r="I102" s="2" t="s">
        <v>30</v>
      </c>
      <c r="J102" s="2" t="s">
        <v>31</v>
      </c>
      <c r="K102" s="2" t="s">
        <v>33</v>
      </c>
      <c r="L102" s="2" t="s">
        <v>52</v>
      </c>
      <c r="M102" s="2" t="s">
        <v>33</v>
      </c>
      <c r="N102" s="2" t="s">
        <v>52</v>
      </c>
      <c r="O102" s="2" t="s">
        <v>33</v>
      </c>
      <c r="P102" s="2" t="s">
        <v>33</v>
      </c>
      <c r="Q102" s="2" t="s">
        <v>52</v>
      </c>
      <c r="R102" s="2" t="s">
        <v>52</v>
      </c>
      <c r="S102" s="2" t="s">
        <v>129</v>
      </c>
      <c r="T102" s="2" t="s">
        <v>35</v>
      </c>
      <c r="U102" s="2" t="s">
        <v>117</v>
      </c>
      <c r="V102" s="2" t="s">
        <v>37</v>
      </c>
      <c r="W102" s="2" t="s">
        <v>38</v>
      </c>
      <c r="X102" s="2" t="s">
        <v>58</v>
      </c>
      <c r="Y102" s="2" t="s">
        <v>54</v>
      </c>
      <c r="AA102" s="3"/>
    </row>
    <row r="103" ht="14.25" customHeight="1">
      <c r="A103" s="2">
        <v>15.0</v>
      </c>
      <c r="B103" s="3">
        <v>45646.8152199074</v>
      </c>
      <c r="C103" s="3">
        <v>45646.8156018518</v>
      </c>
      <c r="D103" s="2" t="s">
        <v>25</v>
      </c>
      <c r="E103" s="2" t="s">
        <v>41</v>
      </c>
      <c r="F103" s="2" t="s">
        <v>49</v>
      </c>
      <c r="G103" s="2" t="s">
        <v>138</v>
      </c>
      <c r="H103" s="2" t="s">
        <v>29</v>
      </c>
      <c r="I103" s="2" t="s">
        <v>194</v>
      </c>
      <c r="J103" s="2" t="s">
        <v>51</v>
      </c>
      <c r="K103" s="2" t="s">
        <v>52</v>
      </c>
      <c r="L103" s="2" t="s">
        <v>31</v>
      </c>
      <c r="M103" s="2" t="s">
        <v>33</v>
      </c>
      <c r="N103" s="2" t="s">
        <v>31</v>
      </c>
      <c r="O103" s="2" t="s">
        <v>31</v>
      </c>
      <c r="P103" s="2" t="s">
        <v>32</v>
      </c>
      <c r="Q103" s="2" t="s">
        <v>31</v>
      </c>
      <c r="R103" s="2" t="s">
        <v>31</v>
      </c>
      <c r="S103" s="2" t="s">
        <v>69</v>
      </c>
      <c r="T103" s="2" t="s">
        <v>62</v>
      </c>
      <c r="U103" s="2" t="s">
        <v>36</v>
      </c>
      <c r="V103" s="2" t="s">
        <v>46</v>
      </c>
      <c r="W103" s="2" t="s">
        <v>38</v>
      </c>
      <c r="X103" s="2" t="s">
        <v>76</v>
      </c>
      <c r="Y103" s="2" t="s">
        <v>195</v>
      </c>
      <c r="AA103" s="3"/>
    </row>
    <row r="104" ht="14.25" customHeight="1">
      <c r="A104" s="2">
        <v>16.0</v>
      </c>
      <c r="B104" s="3">
        <v>45646.9177430556</v>
      </c>
      <c r="C104" s="3">
        <v>45646.9205671296</v>
      </c>
      <c r="D104" s="2" t="s">
        <v>25</v>
      </c>
      <c r="E104" s="2" t="s">
        <v>26</v>
      </c>
      <c r="F104" s="2" t="s">
        <v>122</v>
      </c>
      <c r="G104" s="2" t="s">
        <v>138</v>
      </c>
      <c r="H104" s="2" t="s">
        <v>128</v>
      </c>
      <c r="Y104" s="2" t="s">
        <v>54</v>
      </c>
      <c r="AA104" s="3"/>
    </row>
    <row r="105" ht="14.25" customHeight="1">
      <c r="A105" s="2">
        <v>17.0</v>
      </c>
      <c r="B105" s="3">
        <v>45647.4145949074</v>
      </c>
      <c r="C105" s="3">
        <v>45647.4159143518</v>
      </c>
      <c r="D105" s="2" t="s">
        <v>25</v>
      </c>
      <c r="E105" s="2" t="s">
        <v>41</v>
      </c>
      <c r="F105" s="2" t="s">
        <v>122</v>
      </c>
      <c r="G105" s="2" t="s">
        <v>181</v>
      </c>
      <c r="H105" s="2" t="s">
        <v>29</v>
      </c>
      <c r="I105" s="2" t="s">
        <v>194</v>
      </c>
      <c r="J105" s="2" t="s">
        <v>31</v>
      </c>
      <c r="K105" s="2" t="s">
        <v>32</v>
      </c>
      <c r="L105" s="2" t="s">
        <v>33</v>
      </c>
      <c r="M105" s="2" t="s">
        <v>32</v>
      </c>
      <c r="N105" s="2" t="s">
        <v>52</v>
      </c>
      <c r="O105" s="2" t="s">
        <v>52</v>
      </c>
      <c r="P105" s="2" t="s">
        <v>52</v>
      </c>
      <c r="Q105" s="2" t="s">
        <v>52</v>
      </c>
      <c r="R105" s="2" t="s">
        <v>52</v>
      </c>
      <c r="S105" s="2" t="s">
        <v>140</v>
      </c>
      <c r="T105" s="2" t="s">
        <v>93</v>
      </c>
      <c r="U105" s="2" t="s">
        <v>36</v>
      </c>
      <c r="V105" s="2" t="s">
        <v>37</v>
      </c>
      <c r="W105" s="2" t="s">
        <v>125</v>
      </c>
      <c r="X105" s="2" t="s">
        <v>58</v>
      </c>
      <c r="Y105" s="2" t="s">
        <v>54</v>
      </c>
      <c r="AA105" s="3"/>
    </row>
    <row r="106" ht="14.25" customHeight="1">
      <c r="A106" s="2">
        <v>18.0</v>
      </c>
      <c r="B106" s="3">
        <v>45647.7672685185</v>
      </c>
      <c r="C106" s="3">
        <v>45647.7686805556</v>
      </c>
      <c r="D106" s="2" t="s">
        <v>25</v>
      </c>
      <c r="E106" s="2" t="s">
        <v>41</v>
      </c>
      <c r="F106" s="2" t="s">
        <v>122</v>
      </c>
      <c r="G106" s="2" t="s">
        <v>138</v>
      </c>
      <c r="H106" s="2" t="s">
        <v>29</v>
      </c>
      <c r="I106" s="2" t="s">
        <v>165</v>
      </c>
      <c r="J106" s="2" t="s">
        <v>31</v>
      </c>
      <c r="K106" s="2" t="s">
        <v>52</v>
      </c>
      <c r="L106" s="2" t="s">
        <v>52</v>
      </c>
      <c r="M106" s="2" t="s">
        <v>33</v>
      </c>
      <c r="N106" s="2" t="s">
        <v>33</v>
      </c>
      <c r="O106" s="2" t="s">
        <v>33</v>
      </c>
      <c r="P106" s="2" t="s">
        <v>33</v>
      </c>
      <c r="Q106" s="2" t="s">
        <v>52</v>
      </c>
      <c r="R106" s="2" t="s">
        <v>52</v>
      </c>
      <c r="S106" s="2" t="s">
        <v>34</v>
      </c>
      <c r="T106" s="2" t="s">
        <v>35</v>
      </c>
      <c r="U106" s="2" t="s">
        <v>130</v>
      </c>
      <c r="V106" s="2" t="s">
        <v>46</v>
      </c>
      <c r="W106" s="2" t="s">
        <v>38</v>
      </c>
      <c r="X106" s="2" t="s">
        <v>81</v>
      </c>
      <c r="Y106" s="2" t="s">
        <v>54</v>
      </c>
      <c r="AA106" s="3"/>
    </row>
    <row r="107" ht="14.25" customHeight="1">
      <c r="A107" s="2">
        <v>19.0</v>
      </c>
      <c r="B107" s="3">
        <v>45648.8509722222</v>
      </c>
      <c r="C107" s="3">
        <v>45648.8515625</v>
      </c>
      <c r="D107" s="2" t="s">
        <v>25</v>
      </c>
      <c r="E107" s="2" t="s">
        <v>26</v>
      </c>
      <c r="F107" s="2" t="s">
        <v>122</v>
      </c>
      <c r="G107" s="2" t="s">
        <v>181</v>
      </c>
      <c r="H107" s="2" t="s">
        <v>29</v>
      </c>
      <c r="I107" s="2" t="s">
        <v>30</v>
      </c>
      <c r="J107" s="2" t="s">
        <v>52</v>
      </c>
      <c r="K107" s="2" t="s">
        <v>33</v>
      </c>
      <c r="L107" s="2" t="s">
        <v>52</v>
      </c>
      <c r="M107" s="2" t="s">
        <v>33</v>
      </c>
      <c r="N107" s="2" t="s">
        <v>33</v>
      </c>
      <c r="O107" s="2" t="s">
        <v>33</v>
      </c>
      <c r="P107" s="2" t="s">
        <v>33</v>
      </c>
      <c r="Q107" s="2" t="s">
        <v>31</v>
      </c>
      <c r="R107" s="2" t="s">
        <v>52</v>
      </c>
      <c r="S107" s="2" t="s">
        <v>44</v>
      </c>
      <c r="T107" s="2" t="s">
        <v>35</v>
      </c>
      <c r="U107" s="2" t="s">
        <v>117</v>
      </c>
      <c r="V107" s="2" t="s">
        <v>37</v>
      </c>
      <c r="W107" s="2" t="s">
        <v>196</v>
      </c>
      <c r="X107" s="2" t="s">
        <v>197</v>
      </c>
      <c r="Y107" s="2" t="s">
        <v>54</v>
      </c>
      <c r="AA107" s="3"/>
    </row>
    <row r="108" ht="14.25" customHeight="1">
      <c r="A108" s="2">
        <v>20.0</v>
      </c>
      <c r="B108" s="3">
        <v>45649.3201851852</v>
      </c>
      <c r="C108" s="3">
        <v>45649.321724537</v>
      </c>
      <c r="D108" s="2" t="s">
        <v>25</v>
      </c>
      <c r="E108" s="2" t="s">
        <v>41</v>
      </c>
      <c r="F108" s="2" t="s">
        <v>122</v>
      </c>
      <c r="G108" s="2" t="s">
        <v>181</v>
      </c>
      <c r="H108" s="2" t="s">
        <v>128</v>
      </c>
      <c r="Y108" s="2" t="s">
        <v>54</v>
      </c>
      <c r="AA108" s="3"/>
    </row>
    <row r="109" ht="14.25" customHeight="1">
      <c r="A109" s="2">
        <v>21.0</v>
      </c>
      <c r="B109" s="3">
        <v>45650.5121527778</v>
      </c>
      <c r="C109" s="3">
        <v>45650.5142824074</v>
      </c>
      <c r="D109" s="2" t="s">
        <v>25</v>
      </c>
      <c r="E109" s="2" t="s">
        <v>26</v>
      </c>
      <c r="F109" s="2" t="s">
        <v>122</v>
      </c>
      <c r="G109" s="2" t="s">
        <v>181</v>
      </c>
      <c r="H109" s="2" t="s">
        <v>29</v>
      </c>
      <c r="I109" s="2" t="s">
        <v>30</v>
      </c>
      <c r="J109" s="2" t="s">
        <v>52</v>
      </c>
      <c r="K109" s="2" t="s">
        <v>32</v>
      </c>
      <c r="L109" s="2" t="s">
        <v>33</v>
      </c>
      <c r="M109" s="2" t="s">
        <v>32</v>
      </c>
      <c r="N109" s="2" t="s">
        <v>52</v>
      </c>
      <c r="O109" s="2" t="s">
        <v>52</v>
      </c>
      <c r="P109" s="2" t="s">
        <v>32</v>
      </c>
      <c r="Q109" s="2" t="s">
        <v>33</v>
      </c>
      <c r="R109" s="2" t="s">
        <v>52</v>
      </c>
      <c r="S109" s="2" t="s">
        <v>198</v>
      </c>
      <c r="T109" s="2" t="s">
        <v>35</v>
      </c>
      <c r="U109" s="2" t="s">
        <v>184</v>
      </c>
      <c r="V109" s="2" t="s">
        <v>37</v>
      </c>
      <c r="W109" s="2" t="s">
        <v>196</v>
      </c>
      <c r="X109" s="2" t="s">
        <v>118</v>
      </c>
      <c r="Y109" s="2" t="s">
        <v>54</v>
      </c>
      <c r="AA109" s="3"/>
    </row>
    <row r="110" ht="14.25" customHeight="1">
      <c r="A110" s="2">
        <v>22.0</v>
      </c>
      <c r="B110" s="3">
        <v>45656.7302893518</v>
      </c>
      <c r="C110" s="3">
        <v>45656.7320138889</v>
      </c>
      <c r="D110" s="2" t="s">
        <v>25</v>
      </c>
      <c r="E110" s="2" t="s">
        <v>41</v>
      </c>
      <c r="F110" s="2" t="s">
        <v>122</v>
      </c>
      <c r="G110" s="2" t="s">
        <v>138</v>
      </c>
      <c r="H110" s="2" t="s">
        <v>29</v>
      </c>
      <c r="I110" s="2" t="s">
        <v>199</v>
      </c>
      <c r="J110" s="2" t="s">
        <v>51</v>
      </c>
      <c r="K110" s="2" t="s">
        <v>33</v>
      </c>
      <c r="L110" s="2" t="s">
        <v>52</v>
      </c>
      <c r="M110" s="2" t="s">
        <v>52</v>
      </c>
      <c r="N110" s="2" t="s">
        <v>51</v>
      </c>
      <c r="O110" s="2" t="s">
        <v>52</v>
      </c>
      <c r="P110" s="2" t="s">
        <v>33</v>
      </c>
      <c r="Q110" s="2" t="s">
        <v>52</v>
      </c>
      <c r="R110" s="2" t="s">
        <v>52</v>
      </c>
      <c r="S110" s="2" t="s">
        <v>34</v>
      </c>
      <c r="T110" s="2" t="s">
        <v>35</v>
      </c>
      <c r="U110" s="2" t="s">
        <v>117</v>
      </c>
      <c r="V110" s="2" t="s">
        <v>37</v>
      </c>
      <c r="W110" s="2" t="s">
        <v>38</v>
      </c>
      <c r="Y110" s="2" t="s">
        <v>54</v>
      </c>
      <c r="AA110" s="3"/>
    </row>
    <row r="111" ht="14.25" customHeight="1">
      <c r="A111" s="2">
        <v>23.0</v>
      </c>
      <c r="B111" s="3">
        <v>45663.3701388889</v>
      </c>
      <c r="C111" s="3">
        <v>45663.3713541667</v>
      </c>
      <c r="D111" s="2" t="s">
        <v>25</v>
      </c>
      <c r="E111" s="2" t="s">
        <v>41</v>
      </c>
      <c r="F111" s="2" t="s">
        <v>200</v>
      </c>
      <c r="G111" s="2" t="s">
        <v>28</v>
      </c>
      <c r="H111" s="2" t="s">
        <v>29</v>
      </c>
      <c r="I111" s="2" t="s">
        <v>68</v>
      </c>
      <c r="J111" s="2" t="s">
        <v>31</v>
      </c>
      <c r="K111" s="2" t="s">
        <v>33</v>
      </c>
      <c r="L111" s="2" t="s">
        <v>33</v>
      </c>
      <c r="M111" s="2" t="s">
        <v>52</v>
      </c>
      <c r="N111" s="2" t="s">
        <v>51</v>
      </c>
      <c r="O111" s="2" t="s">
        <v>32</v>
      </c>
      <c r="P111" s="2" t="s">
        <v>33</v>
      </c>
      <c r="Q111" s="2" t="s">
        <v>52</v>
      </c>
      <c r="R111" s="2" t="s">
        <v>52</v>
      </c>
      <c r="S111" s="2" t="s">
        <v>56</v>
      </c>
      <c r="T111" s="2" t="s">
        <v>35</v>
      </c>
      <c r="U111" s="2" t="s">
        <v>45</v>
      </c>
      <c r="V111" s="2" t="s">
        <v>46</v>
      </c>
      <c r="W111" s="2" t="s">
        <v>38</v>
      </c>
      <c r="X111" s="2" t="s">
        <v>141</v>
      </c>
      <c r="Y111" s="2" t="s">
        <v>54</v>
      </c>
      <c r="AA111" s="3"/>
    </row>
    <row r="112" ht="14.25" customHeight="1">
      <c r="A112" s="2">
        <v>24.0</v>
      </c>
      <c r="B112" s="3">
        <v>45664.4253125</v>
      </c>
      <c r="C112" s="3">
        <v>45664.4275231481</v>
      </c>
      <c r="D112" s="2" t="s">
        <v>25</v>
      </c>
      <c r="E112" s="2" t="s">
        <v>41</v>
      </c>
      <c r="F112" s="2" t="s">
        <v>122</v>
      </c>
      <c r="G112" s="2" t="s">
        <v>120</v>
      </c>
      <c r="H112" s="2" t="s">
        <v>29</v>
      </c>
      <c r="I112" s="2" t="s">
        <v>201</v>
      </c>
      <c r="J112" s="2" t="s">
        <v>52</v>
      </c>
      <c r="K112" s="2" t="s">
        <v>33</v>
      </c>
      <c r="L112" s="2" t="s">
        <v>33</v>
      </c>
      <c r="M112" s="2" t="s">
        <v>33</v>
      </c>
      <c r="N112" s="2" t="s">
        <v>51</v>
      </c>
      <c r="O112" s="2" t="s">
        <v>33</v>
      </c>
      <c r="P112" s="2" t="s">
        <v>33</v>
      </c>
      <c r="Q112" s="2" t="s">
        <v>33</v>
      </c>
      <c r="R112" s="2" t="s">
        <v>52</v>
      </c>
      <c r="S112" s="2" t="s">
        <v>44</v>
      </c>
      <c r="T112" s="2" t="s">
        <v>35</v>
      </c>
      <c r="U112" s="2" t="s">
        <v>36</v>
      </c>
      <c r="V112" s="2" t="s">
        <v>37</v>
      </c>
      <c r="W112" s="2" t="s">
        <v>38</v>
      </c>
      <c r="X112" s="2" t="s">
        <v>58</v>
      </c>
      <c r="Y112" s="2" t="s">
        <v>54</v>
      </c>
      <c r="AA112" s="3"/>
    </row>
    <row r="113" ht="14.25" customHeight="1">
      <c r="A113" s="2">
        <v>25.0</v>
      </c>
      <c r="B113" s="3">
        <v>45665.4684490741</v>
      </c>
      <c r="C113" s="3">
        <v>45665.4709027778</v>
      </c>
      <c r="D113" s="2" t="s">
        <v>25</v>
      </c>
      <c r="E113" s="2" t="s">
        <v>41</v>
      </c>
      <c r="F113" s="2" t="s">
        <v>122</v>
      </c>
      <c r="G113" s="2" t="s">
        <v>181</v>
      </c>
      <c r="H113" s="2" t="s">
        <v>29</v>
      </c>
      <c r="I113" s="2" t="s">
        <v>133</v>
      </c>
      <c r="J113" s="2" t="s">
        <v>52</v>
      </c>
      <c r="K113" s="2" t="s">
        <v>32</v>
      </c>
      <c r="L113" s="2" t="s">
        <v>33</v>
      </c>
      <c r="M113" s="2" t="s">
        <v>33</v>
      </c>
      <c r="N113" s="2" t="s">
        <v>33</v>
      </c>
      <c r="O113" s="2" t="s">
        <v>33</v>
      </c>
      <c r="P113" s="2" t="s">
        <v>32</v>
      </c>
      <c r="Q113" s="2" t="s">
        <v>33</v>
      </c>
      <c r="R113" s="2" t="s">
        <v>52</v>
      </c>
      <c r="S113" s="2" t="s">
        <v>129</v>
      </c>
      <c r="T113" s="2" t="s">
        <v>35</v>
      </c>
      <c r="U113" s="2" t="s">
        <v>45</v>
      </c>
      <c r="V113" s="2" t="s">
        <v>37</v>
      </c>
      <c r="W113" s="2" t="s">
        <v>125</v>
      </c>
      <c r="X113" s="2" t="s">
        <v>159</v>
      </c>
      <c r="Y113" s="2" t="s">
        <v>54</v>
      </c>
      <c r="AA113" s="3"/>
    </row>
    <row r="114" ht="14.25" customHeight="1">
      <c r="A114" s="2">
        <v>26.0</v>
      </c>
      <c r="B114" s="3">
        <v>45666.5791898148</v>
      </c>
      <c r="C114" s="3">
        <v>45666.5813425926</v>
      </c>
      <c r="D114" s="2" t="s">
        <v>25</v>
      </c>
      <c r="E114" s="2" t="s">
        <v>26</v>
      </c>
      <c r="F114" s="2" t="s">
        <v>122</v>
      </c>
      <c r="G114" s="2" t="s">
        <v>181</v>
      </c>
      <c r="H114" s="2" t="s">
        <v>29</v>
      </c>
      <c r="I114" s="2" t="s">
        <v>202</v>
      </c>
      <c r="J114" s="2" t="s">
        <v>51</v>
      </c>
      <c r="K114" s="2" t="s">
        <v>51</v>
      </c>
      <c r="L114" s="2" t="s">
        <v>52</v>
      </c>
      <c r="M114" s="2" t="s">
        <v>32</v>
      </c>
      <c r="N114" s="2" t="s">
        <v>33</v>
      </c>
      <c r="O114" s="2" t="s">
        <v>31</v>
      </c>
      <c r="P114" s="2" t="s">
        <v>32</v>
      </c>
      <c r="Q114" s="2" t="s">
        <v>32</v>
      </c>
      <c r="R114" s="2" t="s">
        <v>31</v>
      </c>
      <c r="S114" s="2" t="s">
        <v>34</v>
      </c>
      <c r="T114" s="2" t="s">
        <v>35</v>
      </c>
      <c r="U114" s="2" t="s">
        <v>45</v>
      </c>
      <c r="V114" s="2" t="s">
        <v>37</v>
      </c>
      <c r="W114" s="2" t="s">
        <v>63</v>
      </c>
      <c r="X114" s="2" t="s">
        <v>137</v>
      </c>
      <c r="Y114" s="2" t="s">
        <v>203</v>
      </c>
      <c r="AA114" s="3"/>
    </row>
    <row r="115" ht="14.25" customHeight="1">
      <c r="A115" s="2">
        <v>27.0</v>
      </c>
      <c r="B115" s="3">
        <v>45670.7744907407</v>
      </c>
      <c r="C115" s="3">
        <v>45670.7766087963</v>
      </c>
      <c r="D115" s="2" t="s">
        <v>25</v>
      </c>
      <c r="E115" s="2" t="s">
        <v>41</v>
      </c>
      <c r="F115" s="2" t="s">
        <v>122</v>
      </c>
      <c r="G115" s="2" t="s">
        <v>120</v>
      </c>
      <c r="H115" s="2" t="s">
        <v>29</v>
      </c>
      <c r="I115" s="2" t="s">
        <v>204</v>
      </c>
      <c r="J115" s="2" t="s">
        <v>52</v>
      </c>
      <c r="K115" s="2" t="s">
        <v>52</v>
      </c>
      <c r="L115" s="2" t="s">
        <v>33</v>
      </c>
      <c r="M115" s="2" t="s">
        <v>32</v>
      </c>
      <c r="N115" s="2" t="s">
        <v>51</v>
      </c>
      <c r="O115" s="2" t="s">
        <v>52</v>
      </c>
      <c r="P115" s="2" t="s">
        <v>33</v>
      </c>
      <c r="Q115" s="2" t="s">
        <v>33</v>
      </c>
      <c r="R115" s="2" t="s">
        <v>33</v>
      </c>
      <c r="S115" s="2" t="s">
        <v>44</v>
      </c>
      <c r="T115" s="2" t="s">
        <v>35</v>
      </c>
      <c r="U115" s="2" t="s">
        <v>45</v>
      </c>
      <c r="V115" s="2" t="s">
        <v>46</v>
      </c>
      <c r="W115" s="2" t="s">
        <v>63</v>
      </c>
      <c r="X115" s="2" t="s">
        <v>81</v>
      </c>
      <c r="Y115" s="2" t="s">
        <v>65</v>
      </c>
      <c r="AA115" s="3"/>
    </row>
    <row r="116" ht="14.25" customHeight="1">
      <c r="A116" s="2">
        <v>1.0</v>
      </c>
      <c r="B116" s="3">
        <v>45618.4855902778</v>
      </c>
      <c r="C116" s="3">
        <v>45618.4870486111</v>
      </c>
      <c r="D116" s="2" t="s">
        <v>25</v>
      </c>
      <c r="E116" s="2" t="s">
        <v>41</v>
      </c>
      <c r="F116" s="2" t="s">
        <v>49</v>
      </c>
      <c r="G116" s="2" t="s">
        <v>138</v>
      </c>
      <c r="H116" s="2" t="s">
        <v>29</v>
      </c>
      <c r="I116" s="2" t="s">
        <v>205</v>
      </c>
      <c r="J116" s="2" t="s">
        <v>51</v>
      </c>
      <c r="K116" s="2" t="s">
        <v>31</v>
      </c>
      <c r="L116" s="2" t="s">
        <v>31</v>
      </c>
      <c r="M116" s="2" t="s">
        <v>31</v>
      </c>
      <c r="N116" s="2" t="s">
        <v>52</v>
      </c>
      <c r="O116" s="2" t="s">
        <v>32</v>
      </c>
      <c r="P116" s="2" t="s">
        <v>31</v>
      </c>
      <c r="Q116" s="2" t="s">
        <v>51</v>
      </c>
      <c r="R116" s="2" t="s">
        <v>51</v>
      </c>
      <c r="S116" s="2" t="s">
        <v>56</v>
      </c>
      <c r="T116" s="2" t="s">
        <v>114</v>
      </c>
      <c r="U116" s="2" t="s">
        <v>36</v>
      </c>
      <c r="V116" s="2" t="s">
        <v>46</v>
      </c>
      <c r="W116" s="2" t="s">
        <v>63</v>
      </c>
      <c r="X116" s="2" t="s">
        <v>81</v>
      </c>
      <c r="Y116" s="2" t="s">
        <v>195</v>
      </c>
      <c r="AA116" s="3"/>
    </row>
    <row r="117" ht="14.25" customHeight="1">
      <c r="A117" s="2">
        <v>2.0</v>
      </c>
      <c r="B117" s="3">
        <v>45618.4874305556</v>
      </c>
      <c r="C117" s="3">
        <v>45618.4956828704</v>
      </c>
      <c r="D117" s="2" t="s">
        <v>25</v>
      </c>
      <c r="E117" s="2" t="s">
        <v>41</v>
      </c>
      <c r="F117" s="2" t="s">
        <v>122</v>
      </c>
      <c r="G117" s="2" t="s">
        <v>138</v>
      </c>
      <c r="H117" s="2" t="s">
        <v>29</v>
      </c>
      <c r="I117" s="2" t="s">
        <v>206</v>
      </c>
      <c r="J117" s="2" t="s">
        <v>51</v>
      </c>
      <c r="K117" s="2" t="s">
        <v>52</v>
      </c>
      <c r="L117" s="2" t="s">
        <v>51</v>
      </c>
      <c r="M117" s="2" t="s">
        <v>52</v>
      </c>
      <c r="N117" s="2" t="s">
        <v>51</v>
      </c>
      <c r="O117" s="2" t="s">
        <v>33</v>
      </c>
      <c r="P117" s="2" t="s">
        <v>33</v>
      </c>
      <c r="Q117" s="2" t="s">
        <v>33</v>
      </c>
      <c r="R117" s="2" t="s">
        <v>31</v>
      </c>
      <c r="S117" s="2" t="s">
        <v>140</v>
      </c>
      <c r="T117" s="2" t="s">
        <v>183</v>
      </c>
      <c r="U117" s="2" t="s">
        <v>130</v>
      </c>
      <c r="V117" s="2" t="s">
        <v>46</v>
      </c>
      <c r="W117" s="2" t="s">
        <v>63</v>
      </c>
      <c r="X117" s="2" t="s">
        <v>81</v>
      </c>
      <c r="Y117" s="2" t="s">
        <v>65</v>
      </c>
      <c r="AA117" s="3"/>
    </row>
    <row r="118" ht="14.25" customHeight="1">
      <c r="A118" s="2">
        <v>3.0</v>
      </c>
      <c r="B118" s="3">
        <v>45643.492662037</v>
      </c>
      <c r="C118" s="3">
        <v>45644.6718287037</v>
      </c>
      <c r="D118" s="2" t="s">
        <v>25</v>
      </c>
      <c r="E118" s="2" t="s">
        <v>41</v>
      </c>
      <c r="F118" s="2" t="s">
        <v>122</v>
      </c>
      <c r="G118" s="2" t="s">
        <v>138</v>
      </c>
      <c r="H118" s="2" t="s">
        <v>29</v>
      </c>
      <c r="I118" s="2" t="s">
        <v>147</v>
      </c>
      <c r="J118" s="2" t="s">
        <v>31</v>
      </c>
      <c r="K118" s="2" t="s">
        <v>33</v>
      </c>
      <c r="L118" s="2" t="s">
        <v>33</v>
      </c>
      <c r="M118" s="2" t="s">
        <v>33</v>
      </c>
      <c r="N118" s="2" t="s">
        <v>31</v>
      </c>
      <c r="O118" s="2" t="s">
        <v>33</v>
      </c>
      <c r="P118" s="2" t="s">
        <v>33</v>
      </c>
      <c r="Q118" s="2" t="s">
        <v>33</v>
      </c>
      <c r="R118" s="2" t="s">
        <v>52</v>
      </c>
      <c r="S118" s="2" t="s">
        <v>140</v>
      </c>
      <c r="T118" s="2" t="s">
        <v>35</v>
      </c>
      <c r="U118" s="2" t="s">
        <v>130</v>
      </c>
      <c r="V118" s="2" t="s">
        <v>37</v>
      </c>
      <c r="W118" s="2" t="s">
        <v>38</v>
      </c>
      <c r="X118" s="2" t="s">
        <v>100</v>
      </c>
      <c r="Y118" s="2" t="s">
        <v>108</v>
      </c>
      <c r="AA118" s="3"/>
    </row>
    <row r="119" ht="14.25" customHeight="1">
      <c r="A119" s="2">
        <v>1.0</v>
      </c>
      <c r="B119" s="3">
        <v>45604.5816087963</v>
      </c>
      <c r="C119" s="3">
        <v>45604.5852893519</v>
      </c>
      <c r="D119" s="2" t="s">
        <v>25</v>
      </c>
      <c r="F119" s="2" t="s">
        <v>122</v>
      </c>
      <c r="G119" s="2" t="s">
        <v>138</v>
      </c>
      <c r="H119" s="2" t="s">
        <v>29</v>
      </c>
      <c r="I119" s="2" t="s">
        <v>207</v>
      </c>
      <c r="J119" s="2" t="s">
        <v>52</v>
      </c>
      <c r="N119" s="2" t="s">
        <v>52</v>
      </c>
      <c r="R119" s="2" t="s">
        <v>52</v>
      </c>
      <c r="S119" s="2" t="s">
        <v>44</v>
      </c>
      <c r="T119" s="2" t="s">
        <v>155</v>
      </c>
      <c r="U119" s="2" t="s">
        <v>130</v>
      </c>
      <c r="V119" s="2" t="s">
        <v>46</v>
      </c>
      <c r="W119" s="2" t="s">
        <v>38</v>
      </c>
      <c r="Y119" s="2" t="s">
        <v>48</v>
      </c>
    </row>
    <row r="120" ht="14.25" customHeight="1">
      <c r="A120" s="2">
        <v>2.0</v>
      </c>
      <c r="B120" s="3">
        <v>45604.5891087963</v>
      </c>
      <c r="C120" s="3">
        <v>45604.5892939815</v>
      </c>
      <c r="D120" s="2" t="s">
        <v>25</v>
      </c>
      <c r="F120" s="2" t="s">
        <v>122</v>
      </c>
      <c r="G120" s="2" t="s">
        <v>120</v>
      </c>
      <c r="H120" s="2" t="s">
        <v>128</v>
      </c>
      <c r="Y120" s="2" t="s">
        <v>195</v>
      </c>
      <c r="AA120" s="3"/>
    </row>
    <row r="121" ht="14.25" customHeight="1">
      <c r="A121" s="2">
        <v>3.0</v>
      </c>
      <c r="B121" s="3">
        <v>45604.5892708333</v>
      </c>
      <c r="C121" s="3">
        <v>45604.589375</v>
      </c>
      <c r="D121" s="2" t="s">
        <v>25</v>
      </c>
      <c r="F121" s="2" t="s">
        <v>122</v>
      </c>
      <c r="G121" s="2" t="s">
        <v>120</v>
      </c>
      <c r="H121" s="2" t="s">
        <v>128</v>
      </c>
      <c r="Y121" s="2" t="s">
        <v>208</v>
      </c>
      <c r="AA121" s="3"/>
    </row>
    <row r="122" ht="14.25" customHeight="1">
      <c r="A122" s="2">
        <v>4.0</v>
      </c>
      <c r="B122" s="3">
        <v>45604.5892361111</v>
      </c>
      <c r="C122" s="3">
        <v>45604.5895717593</v>
      </c>
      <c r="D122" s="2" t="s">
        <v>25</v>
      </c>
      <c r="F122" s="2" t="s">
        <v>122</v>
      </c>
      <c r="G122" s="2" t="s">
        <v>120</v>
      </c>
      <c r="H122" s="2" t="s">
        <v>128</v>
      </c>
      <c r="Y122" s="2" t="s">
        <v>208</v>
      </c>
      <c r="AA122" s="3"/>
    </row>
    <row r="123" ht="14.25" customHeight="1">
      <c r="A123" s="2">
        <v>5.0</v>
      </c>
      <c r="B123" s="3">
        <v>45604.5919212963</v>
      </c>
      <c r="C123" s="3">
        <v>45604.5930902778</v>
      </c>
      <c r="D123" s="2" t="s">
        <v>25</v>
      </c>
      <c r="F123" s="2" t="s">
        <v>122</v>
      </c>
      <c r="G123" s="2" t="s">
        <v>120</v>
      </c>
      <c r="H123" s="2" t="s">
        <v>128</v>
      </c>
      <c r="Y123" s="2" t="s">
        <v>65</v>
      </c>
      <c r="AA123" s="3"/>
    </row>
    <row r="124" ht="14.25" customHeight="1">
      <c r="A124" s="2">
        <v>6.0</v>
      </c>
      <c r="B124" s="3">
        <v>45604.5913888889</v>
      </c>
      <c r="C124" s="3">
        <v>45604.5943287037</v>
      </c>
      <c r="D124" s="2" t="s">
        <v>25</v>
      </c>
      <c r="F124" s="2" t="s">
        <v>122</v>
      </c>
      <c r="G124" s="2" t="s">
        <v>120</v>
      </c>
      <c r="H124" s="2" t="s">
        <v>128</v>
      </c>
      <c r="Y124" s="2" t="s">
        <v>208</v>
      </c>
      <c r="AA124" s="3"/>
    </row>
    <row r="125" ht="14.25" customHeight="1">
      <c r="A125" s="2">
        <v>7.0</v>
      </c>
      <c r="B125" s="3">
        <v>45604.5894328704</v>
      </c>
      <c r="C125" s="3">
        <v>45604.5943518518</v>
      </c>
      <c r="D125" s="2" t="s">
        <v>25</v>
      </c>
      <c r="F125" s="2" t="s">
        <v>122</v>
      </c>
      <c r="G125" s="2" t="s">
        <v>120</v>
      </c>
      <c r="H125" s="2" t="s">
        <v>29</v>
      </c>
      <c r="I125" s="2" t="s">
        <v>209</v>
      </c>
      <c r="S125" s="2" t="s">
        <v>210</v>
      </c>
      <c r="T125" s="2" t="s">
        <v>211</v>
      </c>
      <c r="U125" s="2" t="s">
        <v>36</v>
      </c>
      <c r="V125" s="2" t="s">
        <v>37</v>
      </c>
      <c r="W125" s="2" t="s">
        <v>125</v>
      </c>
      <c r="X125" s="2" t="s">
        <v>212</v>
      </c>
      <c r="Y125" s="2" t="s">
        <v>208</v>
      </c>
      <c r="AA125" s="3"/>
    </row>
    <row r="126" ht="14.25" customHeight="1">
      <c r="A126" s="2">
        <v>8.0</v>
      </c>
      <c r="B126" s="3">
        <v>45604.5959375</v>
      </c>
      <c r="C126" s="3">
        <v>45604.597337963</v>
      </c>
      <c r="D126" s="2" t="s">
        <v>25</v>
      </c>
      <c r="F126" s="2" t="s">
        <v>122</v>
      </c>
      <c r="G126" s="2" t="s">
        <v>120</v>
      </c>
      <c r="H126" s="2" t="s">
        <v>29</v>
      </c>
      <c r="I126" s="2" t="s">
        <v>213</v>
      </c>
      <c r="O126" s="2" t="s">
        <v>31</v>
      </c>
      <c r="S126" s="2" t="s">
        <v>210</v>
      </c>
      <c r="T126" s="2" t="s">
        <v>35</v>
      </c>
      <c r="U126" s="2" t="s">
        <v>117</v>
      </c>
      <c r="V126" s="2" t="s">
        <v>37</v>
      </c>
      <c r="W126" s="2" t="s">
        <v>38</v>
      </c>
      <c r="X126" s="2" t="s">
        <v>67</v>
      </c>
      <c r="Y126" s="2" t="s">
        <v>40</v>
      </c>
      <c r="AA126" s="3"/>
    </row>
    <row r="127" ht="14.25" customHeight="1">
      <c r="A127" s="2">
        <v>9.0</v>
      </c>
      <c r="B127" s="3">
        <v>45604.5970138889</v>
      </c>
      <c r="C127" s="3">
        <v>45604.6002546296</v>
      </c>
      <c r="D127" s="2" t="s">
        <v>25</v>
      </c>
      <c r="F127" s="2" t="s">
        <v>122</v>
      </c>
      <c r="G127" s="2" t="s">
        <v>120</v>
      </c>
      <c r="H127" s="2" t="s">
        <v>128</v>
      </c>
      <c r="Y127" s="2" t="s">
        <v>208</v>
      </c>
      <c r="AA127" s="3"/>
    </row>
    <row r="128" ht="14.25" customHeight="1">
      <c r="A128" s="2">
        <v>10.0</v>
      </c>
      <c r="B128" s="3">
        <v>45604.6012962963</v>
      </c>
      <c r="C128" s="3">
        <v>45604.604849537</v>
      </c>
      <c r="D128" s="2" t="s">
        <v>25</v>
      </c>
      <c r="F128" s="2" t="s">
        <v>122</v>
      </c>
      <c r="G128" s="2" t="s">
        <v>120</v>
      </c>
      <c r="H128" s="2" t="s">
        <v>29</v>
      </c>
      <c r="I128" s="2" t="s">
        <v>214</v>
      </c>
      <c r="J128" s="2" t="s">
        <v>51</v>
      </c>
      <c r="K128" s="2" t="s">
        <v>33</v>
      </c>
      <c r="L128" s="2" t="s">
        <v>51</v>
      </c>
      <c r="N128" s="2" t="s">
        <v>33</v>
      </c>
      <c r="O128" s="2" t="s">
        <v>33</v>
      </c>
      <c r="P128" s="2" t="s">
        <v>33</v>
      </c>
      <c r="Q128" s="2" t="s">
        <v>33</v>
      </c>
      <c r="R128" s="2" t="s">
        <v>33</v>
      </c>
      <c r="S128" s="2" t="s">
        <v>215</v>
      </c>
      <c r="T128" s="2" t="s">
        <v>35</v>
      </c>
      <c r="U128" s="2" t="s">
        <v>36</v>
      </c>
      <c r="V128" s="2" t="s">
        <v>37</v>
      </c>
      <c r="W128" s="2" t="s">
        <v>63</v>
      </c>
      <c r="X128" s="2" t="s">
        <v>216</v>
      </c>
      <c r="Y128" s="2" t="s">
        <v>208</v>
      </c>
      <c r="AA128" s="3"/>
    </row>
    <row r="129" ht="14.25" customHeight="1">
      <c r="A129" s="2">
        <v>11.0</v>
      </c>
      <c r="B129" s="3">
        <v>45604.6049652778</v>
      </c>
      <c r="C129" s="3">
        <v>45604.6072569444</v>
      </c>
      <c r="D129" s="2" t="s">
        <v>25</v>
      </c>
      <c r="F129" s="2" t="s">
        <v>122</v>
      </c>
      <c r="G129" s="2" t="s">
        <v>120</v>
      </c>
      <c r="H129" s="2" t="s">
        <v>29</v>
      </c>
      <c r="I129" s="2" t="s">
        <v>109</v>
      </c>
      <c r="J129" s="2" t="s">
        <v>31</v>
      </c>
      <c r="S129" s="2" t="s">
        <v>215</v>
      </c>
      <c r="T129" s="2" t="s">
        <v>35</v>
      </c>
      <c r="U129" s="2" t="s">
        <v>217</v>
      </c>
      <c r="V129" s="2" t="s">
        <v>37</v>
      </c>
      <c r="W129" s="2" t="s">
        <v>38</v>
      </c>
      <c r="X129" s="2" t="s">
        <v>58</v>
      </c>
      <c r="Y129" s="2" t="s">
        <v>208</v>
      </c>
      <c r="AA129" s="3"/>
    </row>
    <row r="130" ht="14.25" customHeight="1">
      <c r="A130" s="2">
        <v>12.0</v>
      </c>
      <c r="B130" s="3">
        <v>45604.6050231481</v>
      </c>
      <c r="C130" s="3">
        <v>45604.6127546296</v>
      </c>
      <c r="D130" s="2" t="s">
        <v>25</v>
      </c>
      <c r="F130" s="2" t="s">
        <v>122</v>
      </c>
      <c r="G130" s="2" t="s">
        <v>120</v>
      </c>
      <c r="H130" s="2" t="s">
        <v>29</v>
      </c>
      <c r="I130" s="2" t="s">
        <v>218</v>
      </c>
      <c r="J130" s="2" t="s">
        <v>33</v>
      </c>
      <c r="K130" s="2" t="s">
        <v>33</v>
      </c>
      <c r="L130" s="2" t="s">
        <v>33</v>
      </c>
      <c r="N130" s="2" t="s">
        <v>33</v>
      </c>
      <c r="O130" s="2" t="s">
        <v>33</v>
      </c>
      <c r="P130" s="2" t="s">
        <v>33</v>
      </c>
      <c r="Q130" s="2" t="s">
        <v>33</v>
      </c>
      <c r="R130" s="2" t="s">
        <v>33</v>
      </c>
      <c r="S130" s="2" t="s">
        <v>215</v>
      </c>
      <c r="T130" s="2" t="s">
        <v>211</v>
      </c>
      <c r="U130" s="2" t="s">
        <v>36</v>
      </c>
      <c r="V130" s="2" t="s">
        <v>92</v>
      </c>
      <c r="W130" s="2" t="s">
        <v>38</v>
      </c>
      <c r="X130" s="2" t="s">
        <v>81</v>
      </c>
      <c r="Y130" s="2" t="s">
        <v>208</v>
      </c>
      <c r="AA130" s="3"/>
    </row>
    <row r="131" ht="14.25" customHeight="1">
      <c r="A131" s="2">
        <v>13.0</v>
      </c>
      <c r="B131" s="3">
        <v>45604.6107060185</v>
      </c>
      <c r="C131" s="3">
        <v>45604.6166666667</v>
      </c>
      <c r="D131" s="2" t="s">
        <v>25</v>
      </c>
      <c r="F131" s="2" t="s">
        <v>122</v>
      </c>
      <c r="G131" s="2" t="s">
        <v>120</v>
      </c>
      <c r="H131" s="2" t="s">
        <v>29</v>
      </c>
      <c r="I131" s="2" t="s">
        <v>219</v>
      </c>
      <c r="J131" s="2" t="s">
        <v>51</v>
      </c>
      <c r="K131" s="2" t="s">
        <v>33</v>
      </c>
      <c r="L131" s="2" t="s">
        <v>33</v>
      </c>
      <c r="N131" s="2" t="s">
        <v>33</v>
      </c>
      <c r="O131" s="2" t="s">
        <v>33</v>
      </c>
      <c r="P131" s="2" t="s">
        <v>33</v>
      </c>
      <c r="Q131" s="2" t="s">
        <v>52</v>
      </c>
      <c r="R131" s="2" t="s">
        <v>33</v>
      </c>
      <c r="S131" s="2" t="s">
        <v>215</v>
      </c>
      <c r="T131" s="2" t="s">
        <v>220</v>
      </c>
      <c r="U131" s="2" t="s">
        <v>36</v>
      </c>
      <c r="V131" s="2" t="s">
        <v>221</v>
      </c>
      <c r="W131" s="2" t="s">
        <v>63</v>
      </c>
      <c r="X131" s="2" t="s">
        <v>222</v>
      </c>
      <c r="Y131" s="2" t="s">
        <v>74</v>
      </c>
      <c r="AA131" s="3"/>
    </row>
    <row r="132" ht="14.25" customHeight="1">
      <c r="A132" s="2">
        <v>14.0</v>
      </c>
      <c r="B132" s="3">
        <v>45604.6281712963</v>
      </c>
      <c r="C132" s="3">
        <v>45604.6285532407</v>
      </c>
      <c r="D132" s="2" t="s">
        <v>25</v>
      </c>
      <c r="F132" s="2" t="s">
        <v>122</v>
      </c>
      <c r="G132" s="2" t="s">
        <v>120</v>
      </c>
      <c r="H132" s="2" t="s">
        <v>29</v>
      </c>
      <c r="I132" s="2" t="s">
        <v>223</v>
      </c>
      <c r="J132" s="2" t="s">
        <v>31</v>
      </c>
      <c r="S132" s="2" t="s">
        <v>215</v>
      </c>
      <c r="T132" s="2" t="s">
        <v>224</v>
      </c>
      <c r="U132" s="2" t="s">
        <v>36</v>
      </c>
      <c r="V132" s="2" t="s">
        <v>92</v>
      </c>
      <c r="W132" s="2" t="s">
        <v>38</v>
      </c>
      <c r="X132" s="2" t="s">
        <v>67</v>
      </c>
      <c r="Y132" s="2" t="s">
        <v>108</v>
      </c>
      <c r="AA132" s="3"/>
    </row>
    <row r="133" ht="14.25" customHeight="1">
      <c r="A133" s="2">
        <v>15.0</v>
      </c>
      <c r="B133" s="3">
        <v>45604.6346990741</v>
      </c>
      <c r="C133" s="3">
        <v>45604.6362962963</v>
      </c>
      <c r="D133" s="2" t="s">
        <v>25</v>
      </c>
      <c r="F133" s="2" t="s">
        <v>122</v>
      </c>
      <c r="G133" s="2" t="s">
        <v>120</v>
      </c>
      <c r="H133" s="2" t="s">
        <v>128</v>
      </c>
      <c r="Y133" s="2" t="s">
        <v>208</v>
      </c>
      <c r="AA133" s="3"/>
    </row>
    <row r="134" ht="14.25" customHeight="1">
      <c r="A134" s="2">
        <v>16.0</v>
      </c>
      <c r="B134" s="3">
        <v>45604.618125</v>
      </c>
      <c r="C134" s="3">
        <v>45604.6371412037</v>
      </c>
      <c r="D134" s="2" t="s">
        <v>25</v>
      </c>
      <c r="F134" s="2" t="s">
        <v>122</v>
      </c>
      <c r="G134" s="2" t="s">
        <v>120</v>
      </c>
      <c r="H134" s="2" t="s">
        <v>29</v>
      </c>
      <c r="I134" s="2" t="s">
        <v>225</v>
      </c>
      <c r="S134" s="2" t="s">
        <v>226</v>
      </c>
      <c r="T134" s="2" t="s">
        <v>35</v>
      </c>
      <c r="U134" s="2" t="s">
        <v>36</v>
      </c>
      <c r="V134" s="2" t="s">
        <v>37</v>
      </c>
      <c r="W134" s="2" t="s">
        <v>125</v>
      </c>
      <c r="X134" s="2" t="s">
        <v>58</v>
      </c>
      <c r="Y134" s="2" t="s">
        <v>65</v>
      </c>
      <c r="AA134" s="3"/>
    </row>
    <row r="135" ht="14.25" customHeight="1">
      <c r="A135" s="2">
        <v>17.0</v>
      </c>
      <c r="B135" s="3">
        <v>45604.6461342593</v>
      </c>
      <c r="C135" s="3">
        <v>45604.6477777778</v>
      </c>
      <c r="D135" s="2" t="s">
        <v>25</v>
      </c>
      <c r="F135" s="2" t="s">
        <v>122</v>
      </c>
      <c r="G135" s="2" t="s">
        <v>120</v>
      </c>
      <c r="H135" s="2" t="s">
        <v>29</v>
      </c>
      <c r="I135" s="2" t="s">
        <v>227</v>
      </c>
      <c r="J135" s="2" t="s">
        <v>51</v>
      </c>
      <c r="L135" s="2" t="s">
        <v>52</v>
      </c>
      <c r="Q135" s="2" t="s">
        <v>52</v>
      </c>
      <c r="R135" s="2" t="s">
        <v>52</v>
      </c>
      <c r="S135" s="2" t="s">
        <v>226</v>
      </c>
      <c r="T135" s="2" t="s">
        <v>228</v>
      </c>
      <c r="U135" s="2" t="s">
        <v>36</v>
      </c>
      <c r="V135" s="2" t="s">
        <v>57</v>
      </c>
      <c r="W135" s="2" t="s">
        <v>63</v>
      </c>
      <c r="X135" s="2" t="s">
        <v>229</v>
      </c>
      <c r="Y135" s="2" t="s">
        <v>65</v>
      </c>
      <c r="AA135" s="3"/>
    </row>
    <row r="136" ht="14.25" customHeight="1">
      <c r="A136" s="2">
        <v>18.0</v>
      </c>
      <c r="B136" s="3">
        <v>45604.6474652778</v>
      </c>
      <c r="C136" s="3">
        <v>45604.6497222222</v>
      </c>
      <c r="D136" s="2" t="s">
        <v>25</v>
      </c>
      <c r="F136" s="2" t="s">
        <v>122</v>
      </c>
      <c r="G136" s="2" t="s">
        <v>120</v>
      </c>
      <c r="H136" s="2" t="s">
        <v>29</v>
      </c>
      <c r="I136" s="2" t="s">
        <v>43</v>
      </c>
      <c r="J136" s="2" t="s">
        <v>51</v>
      </c>
      <c r="S136" s="2" t="s">
        <v>215</v>
      </c>
      <c r="T136" s="2" t="s">
        <v>35</v>
      </c>
      <c r="U136" s="2" t="s">
        <v>36</v>
      </c>
      <c r="V136" s="2" t="s">
        <v>221</v>
      </c>
      <c r="W136" s="2" t="s">
        <v>38</v>
      </c>
      <c r="X136" s="2" t="s">
        <v>230</v>
      </c>
      <c r="Y136" s="2" t="s">
        <v>48</v>
      </c>
      <c r="AA136" s="3"/>
    </row>
    <row r="137" ht="14.25" customHeight="1">
      <c r="A137" s="2">
        <v>19.0</v>
      </c>
      <c r="B137" s="3">
        <v>45604.6742592593</v>
      </c>
      <c r="C137" s="3">
        <v>45604.6744675926</v>
      </c>
      <c r="D137" s="2" t="s">
        <v>25</v>
      </c>
      <c r="F137" s="2" t="s">
        <v>122</v>
      </c>
      <c r="G137" s="2" t="s">
        <v>120</v>
      </c>
      <c r="H137" s="2" t="s">
        <v>29</v>
      </c>
      <c r="I137" s="2" t="s">
        <v>231</v>
      </c>
      <c r="J137" s="2" t="s">
        <v>52</v>
      </c>
      <c r="S137" s="2" t="s">
        <v>215</v>
      </c>
      <c r="T137" s="2" t="s">
        <v>35</v>
      </c>
      <c r="U137" s="2" t="s">
        <v>36</v>
      </c>
      <c r="V137" s="2" t="s">
        <v>37</v>
      </c>
      <c r="W137" s="2" t="s">
        <v>196</v>
      </c>
      <c r="X137" s="2" t="s">
        <v>81</v>
      </c>
      <c r="Y137" s="2" t="s">
        <v>208</v>
      </c>
      <c r="AA137" s="3"/>
    </row>
    <row r="138" ht="14.25" customHeight="1">
      <c r="A138" s="2">
        <v>20.0</v>
      </c>
      <c r="B138" s="3">
        <v>45604.7054282407</v>
      </c>
      <c r="C138" s="3">
        <v>45604.7075347222</v>
      </c>
      <c r="D138" s="2" t="s">
        <v>25</v>
      </c>
      <c r="F138" s="2" t="s">
        <v>122</v>
      </c>
      <c r="G138" s="2" t="s">
        <v>120</v>
      </c>
      <c r="H138" s="2" t="s">
        <v>128</v>
      </c>
      <c r="Y138" s="2" t="s">
        <v>48</v>
      </c>
      <c r="AA138" s="3"/>
    </row>
    <row r="139" ht="14.25" customHeight="1">
      <c r="A139" s="2">
        <v>21.0</v>
      </c>
      <c r="B139" s="3">
        <v>45604.7430671296</v>
      </c>
      <c r="C139" s="3">
        <v>45604.7432523148</v>
      </c>
      <c r="D139" s="2" t="s">
        <v>25</v>
      </c>
      <c r="F139" s="2" t="s">
        <v>122</v>
      </c>
      <c r="G139" s="2" t="s">
        <v>120</v>
      </c>
      <c r="H139" s="2" t="s">
        <v>29</v>
      </c>
      <c r="I139" s="2" t="s">
        <v>232</v>
      </c>
      <c r="J139" s="2" t="s">
        <v>51</v>
      </c>
      <c r="K139" s="2" t="s">
        <v>32</v>
      </c>
      <c r="L139" s="2" t="s">
        <v>33</v>
      </c>
      <c r="N139" s="2" t="s">
        <v>33</v>
      </c>
      <c r="O139" s="2" t="s">
        <v>33</v>
      </c>
      <c r="P139" s="2" t="s">
        <v>32</v>
      </c>
      <c r="Q139" s="2" t="s">
        <v>32</v>
      </c>
      <c r="R139" s="2" t="s">
        <v>33</v>
      </c>
      <c r="S139" s="2" t="s">
        <v>215</v>
      </c>
      <c r="T139" s="2" t="s">
        <v>35</v>
      </c>
      <c r="U139" s="2" t="s">
        <v>117</v>
      </c>
      <c r="V139" s="2" t="s">
        <v>37</v>
      </c>
      <c r="W139" s="2" t="s">
        <v>38</v>
      </c>
      <c r="X139" s="2" t="s">
        <v>81</v>
      </c>
      <c r="Y139" s="2" t="s">
        <v>208</v>
      </c>
      <c r="AA139" s="3"/>
    </row>
    <row r="140" ht="14.25" customHeight="1">
      <c r="A140" s="2">
        <v>22.0</v>
      </c>
      <c r="B140" s="3">
        <v>45604.7693171296</v>
      </c>
      <c r="C140" s="3">
        <v>45604.7699421296</v>
      </c>
      <c r="D140" s="2" t="s">
        <v>25</v>
      </c>
      <c r="F140" s="2" t="s">
        <v>122</v>
      </c>
      <c r="G140" s="2" t="s">
        <v>120</v>
      </c>
      <c r="H140" s="2" t="s">
        <v>128</v>
      </c>
      <c r="Y140" s="2" t="s">
        <v>208</v>
      </c>
      <c r="AA140" s="3"/>
    </row>
    <row r="141" ht="14.25" customHeight="1">
      <c r="A141" s="2">
        <v>23.0</v>
      </c>
      <c r="B141" s="3">
        <v>45607.3650462963</v>
      </c>
      <c r="C141" s="3">
        <v>45607.3671990741</v>
      </c>
      <c r="D141" s="2" t="s">
        <v>25</v>
      </c>
      <c r="F141" s="2" t="s">
        <v>122</v>
      </c>
      <c r="G141" s="2" t="s">
        <v>120</v>
      </c>
      <c r="H141" s="2" t="s">
        <v>128</v>
      </c>
      <c r="Y141" s="2" t="s">
        <v>233</v>
      </c>
      <c r="AA141" s="3"/>
    </row>
    <row r="142" ht="14.25" customHeight="1">
      <c r="A142" s="2">
        <v>24.0</v>
      </c>
      <c r="B142" s="3">
        <v>45607.3834606481</v>
      </c>
      <c r="C142" s="3">
        <v>45607.3887037037</v>
      </c>
      <c r="D142" s="2" t="s">
        <v>25</v>
      </c>
      <c r="F142" s="2" t="s">
        <v>122</v>
      </c>
      <c r="G142" s="2" t="s">
        <v>120</v>
      </c>
      <c r="H142" s="2" t="s">
        <v>29</v>
      </c>
      <c r="I142" s="2" t="s">
        <v>234</v>
      </c>
      <c r="J142" s="2" t="s">
        <v>31</v>
      </c>
      <c r="K142" s="2" t="s">
        <v>33</v>
      </c>
      <c r="L142" s="2" t="s">
        <v>33</v>
      </c>
      <c r="N142" s="2" t="s">
        <v>31</v>
      </c>
      <c r="O142" s="2" t="s">
        <v>32</v>
      </c>
      <c r="P142" s="2" t="s">
        <v>33</v>
      </c>
      <c r="Q142" s="2" t="s">
        <v>33</v>
      </c>
      <c r="R142" s="2" t="s">
        <v>52</v>
      </c>
      <c r="S142" s="2" t="s">
        <v>226</v>
      </c>
      <c r="T142" s="2" t="s">
        <v>220</v>
      </c>
      <c r="U142" s="2" t="s">
        <v>146</v>
      </c>
      <c r="V142" s="2" t="s">
        <v>37</v>
      </c>
      <c r="W142" s="2" t="s">
        <v>38</v>
      </c>
      <c r="X142" s="2" t="s">
        <v>58</v>
      </c>
      <c r="Y142" s="2" t="s">
        <v>208</v>
      </c>
      <c r="AA142" s="3"/>
    </row>
    <row r="143" ht="14.25" customHeight="1">
      <c r="A143" s="2">
        <v>25.0</v>
      </c>
      <c r="B143" s="3">
        <v>45607.4462152778</v>
      </c>
      <c r="C143" s="3">
        <v>45607.4506134259</v>
      </c>
      <c r="D143" s="2" t="s">
        <v>25</v>
      </c>
      <c r="F143" s="2" t="s">
        <v>122</v>
      </c>
      <c r="G143" s="2" t="s">
        <v>120</v>
      </c>
      <c r="H143" s="2" t="s">
        <v>29</v>
      </c>
      <c r="I143" s="2" t="s">
        <v>223</v>
      </c>
      <c r="J143" s="2" t="s">
        <v>51</v>
      </c>
      <c r="S143" s="2" t="s">
        <v>226</v>
      </c>
      <c r="T143" s="2" t="s">
        <v>235</v>
      </c>
      <c r="U143" s="2" t="s">
        <v>36</v>
      </c>
      <c r="V143" s="2" t="s">
        <v>57</v>
      </c>
      <c r="W143" s="2" t="s">
        <v>63</v>
      </c>
      <c r="X143" s="2" t="s">
        <v>81</v>
      </c>
      <c r="Y143" s="2" t="s">
        <v>48</v>
      </c>
      <c r="AA143" s="3"/>
    </row>
    <row r="144" ht="14.25" customHeight="1">
      <c r="A144" s="2">
        <v>26.0</v>
      </c>
      <c r="B144" s="3">
        <v>45607.4520601852</v>
      </c>
      <c r="C144" s="3">
        <v>45607.4522800926</v>
      </c>
      <c r="D144" s="2" t="s">
        <v>25</v>
      </c>
      <c r="F144" s="2" t="s">
        <v>122</v>
      </c>
      <c r="G144" s="2" t="s">
        <v>120</v>
      </c>
      <c r="H144" s="2" t="s">
        <v>29</v>
      </c>
      <c r="I144" s="2" t="s">
        <v>43</v>
      </c>
      <c r="J144" s="2" t="s">
        <v>52</v>
      </c>
      <c r="S144" s="2" t="s">
        <v>215</v>
      </c>
      <c r="T144" s="2" t="s">
        <v>211</v>
      </c>
      <c r="U144" s="2" t="s">
        <v>36</v>
      </c>
      <c r="V144" s="2" t="s">
        <v>37</v>
      </c>
      <c r="W144" s="2" t="s">
        <v>38</v>
      </c>
      <c r="X144" s="2" t="s">
        <v>236</v>
      </c>
      <c r="Y144" s="2" t="s">
        <v>48</v>
      </c>
      <c r="AA144" s="3"/>
    </row>
    <row r="145" ht="14.25" customHeight="1">
      <c r="A145" s="2">
        <v>27.0</v>
      </c>
      <c r="B145" s="3">
        <v>45607.4730439815</v>
      </c>
      <c r="C145" s="3">
        <v>45607.473287037</v>
      </c>
      <c r="D145" s="2" t="s">
        <v>25</v>
      </c>
      <c r="F145" s="2" t="s">
        <v>122</v>
      </c>
      <c r="G145" s="2" t="s">
        <v>120</v>
      </c>
      <c r="H145" s="2" t="s">
        <v>128</v>
      </c>
      <c r="Y145" s="2" t="s">
        <v>48</v>
      </c>
      <c r="AA145" s="3"/>
    </row>
    <row r="146" ht="14.25" customHeight="1">
      <c r="A146" s="2">
        <v>28.0</v>
      </c>
      <c r="B146" s="3">
        <v>45607.4772337963</v>
      </c>
      <c r="C146" s="3">
        <v>45607.478900463</v>
      </c>
      <c r="D146" s="2" t="s">
        <v>25</v>
      </c>
      <c r="F146" s="2" t="s">
        <v>122</v>
      </c>
      <c r="G146" s="2" t="s">
        <v>120</v>
      </c>
      <c r="H146" s="2" t="s">
        <v>128</v>
      </c>
      <c r="Y146" s="2" t="s">
        <v>208</v>
      </c>
      <c r="AA146" s="3"/>
    </row>
    <row r="147" ht="14.25" customHeight="1">
      <c r="A147" s="2">
        <v>29.0</v>
      </c>
      <c r="B147" s="3">
        <v>45607.7400578704</v>
      </c>
      <c r="C147" s="3">
        <v>45607.7416203704</v>
      </c>
      <c r="D147" s="2" t="s">
        <v>25</v>
      </c>
      <c r="F147" s="2" t="s">
        <v>122</v>
      </c>
      <c r="G147" s="2" t="s">
        <v>120</v>
      </c>
      <c r="H147" s="2" t="s">
        <v>29</v>
      </c>
      <c r="I147" s="2" t="s">
        <v>237</v>
      </c>
      <c r="J147" s="2" t="s">
        <v>51</v>
      </c>
      <c r="K147" s="2" t="s">
        <v>33</v>
      </c>
      <c r="L147" s="2" t="s">
        <v>32</v>
      </c>
      <c r="N147" s="2" t="s">
        <v>32</v>
      </c>
      <c r="O147" s="2" t="s">
        <v>33</v>
      </c>
      <c r="P147" s="2" t="s">
        <v>33</v>
      </c>
      <c r="Q147" s="2" t="s">
        <v>33</v>
      </c>
      <c r="R147" s="2" t="s">
        <v>32</v>
      </c>
      <c r="S147" s="2" t="s">
        <v>215</v>
      </c>
      <c r="T147" s="2" t="s">
        <v>35</v>
      </c>
      <c r="U147" s="2" t="s">
        <v>130</v>
      </c>
      <c r="V147" s="2" t="s">
        <v>92</v>
      </c>
      <c r="W147" s="2" t="s">
        <v>38</v>
      </c>
      <c r="X147" s="2" t="s">
        <v>81</v>
      </c>
      <c r="Y147" s="2" t="s">
        <v>208</v>
      </c>
      <c r="AA147" s="3"/>
    </row>
    <row r="148" ht="14.25" customHeight="1">
      <c r="A148" s="2">
        <v>30.0</v>
      </c>
      <c r="B148" s="3">
        <v>45608.2942361111</v>
      </c>
      <c r="C148" s="3">
        <v>45608.2947222222</v>
      </c>
      <c r="D148" s="2" t="s">
        <v>25</v>
      </c>
      <c r="F148" s="2" t="s">
        <v>122</v>
      </c>
      <c r="G148" s="2" t="s">
        <v>120</v>
      </c>
      <c r="H148" s="2" t="s">
        <v>29</v>
      </c>
      <c r="I148" s="2" t="s">
        <v>238</v>
      </c>
      <c r="J148" s="2" t="s">
        <v>52</v>
      </c>
      <c r="K148" s="2" t="s">
        <v>33</v>
      </c>
      <c r="L148" s="2" t="s">
        <v>33</v>
      </c>
      <c r="N148" s="2" t="s">
        <v>33</v>
      </c>
      <c r="O148" s="2" t="s">
        <v>33</v>
      </c>
      <c r="P148" s="2" t="s">
        <v>33</v>
      </c>
      <c r="Q148" s="2" t="s">
        <v>33</v>
      </c>
      <c r="R148" s="2" t="s">
        <v>52</v>
      </c>
      <c r="S148" s="2" t="s">
        <v>215</v>
      </c>
      <c r="T148" s="2" t="s">
        <v>35</v>
      </c>
      <c r="U148" s="2" t="s">
        <v>146</v>
      </c>
      <c r="V148" s="2" t="s">
        <v>37</v>
      </c>
      <c r="W148" s="2" t="s">
        <v>38</v>
      </c>
      <c r="X148" s="2" t="s">
        <v>58</v>
      </c>
      <c r="Y148" s="2" t="s">
        <v>48</v>
      </c>
      <c r="AA148" s="3"/>
    </row>
    <row r="149" ht="14.25" customHeight="1">
      <c r="A149" s="2">
        <v>31.0</v>
      </c>
      <c r="B149" s="3">
        <v>45608.3056712963</v>
      </c>
      <c r="C149" s="3">
        <v>45608.3067824074</v>
      </c>
      <c r="D149" s="2" t="s">
        <v>25</v>
      </c>
      <c r="F149" s="2" t="s">
        <v>122</v>
      </c>
      <c r="G149" s="2" t="s">
        <v>120</v>
      </c>
      <c r="H149" s="2" t="s">
        <v>128</v>
      </c>
      <c r="Y149" s="2" t="s">
        <v>208</v>
      </c>
      <c r="AA149" s="3"/>
    </row>
    <row r="150" ht="14.25" customHeight="1">
      <c r="A150" s="2">
        <v>32.0</v>
      </c>
      <c r="B150" s="3">
        <v>45608.3586342593</v>
      </c>
      <c r="C150" s="3">
        <v>45608.3591782407</v>
      </c>
      <c r="D150" s="2" t="s">
        <v>25</v>
      </c>
      <c r="F150" s="2" t="s">
        <v>122</v>
      </c>
      <c r="G150" s="2" t="s">
        <v>120</v>
      </c>
      <c r="H150" s="2" t="s">
        <v>29</v>
      </c>
      <c r="I150" s="2" t="s">
        <v>239</v>
      </c>
      <c r="J150" s="2" t="s">
        <v>31</v>
      </c>
      <c r="K150" s="2" t="s">
        <v>32</v>
      </c>
      <c r="L150" s="2" t="s">
        <v>33</v>
      </c>
      <c r="N150" s="2" t="s">
        <v>33</v>
      </c>
      <c r="O150" s="2" t="s">
        <v>33</v>
      </c>
      <c r="P150" s="2" t="s">
        <v>32</v>
      </c>
      <c r="Q150" s="2" t="s">
        <v>33</v>
      </c>
      <c r="R150" s="2" t="s">
        <v>33</v>
      </c>
      <c r="S150" s="2" t="s">
        <v>215</v>
      </c>
      <c r="T150" s="2" t="s">
        <v>211</v>
      </c>
      <c r="U150" s="2" t="s">
        <v>36</v>
      </c>
      <c r="V150" s="2" t="s">
        <v>37</v>
      </c>
      <c r="W150" s="2" t="s">
        <v>63</v>
      </c>
      <c r="X150" s="2" t="s">
        <v>240</v>
      </c>
      <c r="Y150" s="2" t="s">
        <v>208</v>
      </c>
      <c r="AA150" s="3"/>
    </row>
    <row r="151" ht="14.25" customHeight="1">
      <c r="A151" s="2">
        <v>33.0</v>
      </c>
      <c r="B151" s="3">
        <v>45608.4870949074</v>
      </c>
      <c r="C151" s="3">
        <v>45608.4877199074</v>
      </c>
      <c r="D151" s="2" t="s">
        <v>25</v>
      </c>
      <c r="F151" s="2" t="s">
        <v>122</v>
      </c>
      <c r="G151" s="2" t="s">
        <v>120</v>
      </c>
      <c r="H151" s="2" t="s">
        <v>128</v>
      </c>
      <c r="Y151" s="2" t="s">
        <v>208</v>
      </c>
      <c r="AA151" s="3"/>
    </row>
    <row r="152" ht="14.25" customHeight="1">
      <c r="A152" s="2">
        <v>34.0</v>
      </c>
      <c r="B152" s="3">
        <v>45608.598900463</v>
      </c>
      <c r="C152" s="3">
        <v>45608.5990740741</v>
      </c>
      <c r="D152" s="2" t="s">
        <v>25</v>
      </c>
      <c r="F152" s="2" t="s">
        <v>122</v>
      </c>
      <c r="G152" s="2" t="s">
        <v>120</v>
      </c>
      <c r="H152" s="2" t="s">
        <v>128</v>
      </c>
      <c r="Y152" s="2" t="s">
        <v>208</v>
      </c>
      <c r="AA152" s="3"/>
    </row>
    <row r="153" ht="14.25" customHeight="1">
      <c r="A153" s="2">
        <v>35.0</v>
      </c>
      <c r="B153" s="3">
        <v>45609.4211574074</v>
      </c>
      <c r="C153" s="3">
        <v>45609.4224074074</v>
      </c>
      <c r="D153" s="2" t="s">
        <v>25</v>
      </c>
      <c r="F153" s="2" t="s">
        <v>122</v>
      </c>
      <c r="G153" s="2" t="s">
        <v>120</v>
      </c>
      <c r="H153" s="2" t="s">
        <v>128</v>
      </c>
      <c r="Y153" s="2" t="s">
        <v>208</v>
      </c>
      <c r="AA153" s="3"/>
    </row>
    <row r="154" ht="14.25" customHeight="1">
      <c r="A154" s="2">
        <v>36.0</v>
      </c>
      <c r="B154" s="3">
        <v>45609.5285648148</v>
      </c>
      <c r="C154" s="3">
        <v>45609.5288310185</v>
      </c>
      <c r="D154" s="2" t="s">
        <v>25</v>
      </c>
      <c r="F154" s="2" t="s">
        <v>122</v>
      </c>
      <c r="G154" s="2" t="s">
        <v>120</v>
      </c>
      <c r="H154" s="2" t="s">
        <v>29</v>
      </c>
      <c r="I154" s="2" t="s">
        <v>241</v>
      </c>
      <c r="J154" s="2" t="s">
        <v>51</v>
      </c>
      <c r="Q154" s="2" t="s">
        <v>52</v>
      </c>
      <c r="S154" s="2" t="s">
        <v>215</v>
      </c>
      <c r="T154" s="2" t="s">
        <v>35</v>
      </c>
      <c r="U154" s="2" t="s">
        <v>117</v>
      </c>
      <c r="V154" s="2" t="s">
        <v>37</v>
      </c>
      <c r="W154" s="2" t="s">
        <v>63</v>
      </c>
      <c r="X154" s="2" t="s">
        <v>242</v>
      </c>
      <c r="Y154" s="2" t="s">
        <v>108</v>
      </c>
      <c r="AA154" s="3"/>
    </row>
    <row r="155" ht="14.25" customHeight="1">
      <c r="A155" s="2">
        <v>37.0</v>
      </c>
      <c r="B155" s="3">
        <v>45609.5327199074</v>
      </c>
      <c r="C155" s="3">
        <v>45609.5455092593</v>
      </c>
      <c r="D155" s="2" t="s">
        <v>25</v>
      </c>
      <c r="F155" s="2" t="s">
        <v>122</v>
      </c>
      <c r="G155" s="2" t="s">
        <v>120</v>
      </c>
      <c r="H155" s="2" t="s">
        <v>128</v>
      </c>
      <c r="Y155" s="2" t="s">
        <v>208</v>
      </c>
      <c r="AA155" s="3"/>
    </row>
    <row r="156" ht="14.25" customHeight="1">
      <c r="A156" s="2">
        <v>38.0</v>
      </c>
      <c r="B156" s="3">
        <v>45609.6811689815</v>
      </c>
      <c r="C156" s="3">
        <v>45609.6831365741</v>
      </c>
      <c r="D156" s="2" t="s">
        <v>25</v>
      </c>
      <c r="F156" s="2" t="s">
        <v>122</v>
      </c>
      <c r="G156" s="2" t="s">
        <v>120</v>
      </c>
      <c r="H156" s="2" t="s">
        <v>29</v>
      </c>
      <c r="I156" s="2" t="s">
        <v>243</v>
      </c>
      <c r="J156" s="2" t="s">
        <v>52</v>
      </c>
      <c r="S156" s="2" t="s">
        <v>226</v>
      </c>
      <c r="T156" s="2" t="s">
        <v>35</v>
      </c>
      <c r="U156" s="2" t="s">
        <v>130</v>
      </c>
      <c r="V156" s="2" t="s">
        <v>37</v>
      </c>
      <c r="W156" s="2" t="s">
        <v>125</v>
      </c>
      <c r="X156" s="2" t="s">
        <v>78</v>
      </c>
      <c r="Y156" s="2" t="s">
        <v>208</v>
      </c>
      <c r="AA156" s="3"/>
    </row>
    <row r="157" ht="14.25" customHeight="1">
      <c r="A157" s="2">
        <v>39.0</v>
      </c>
      <c r="B157" s="3">
        <v>45611.3870138889</v>
      </c>
      <c r="C157" s="3">
        <v>45611.3883680556</v>
      </c>
      <c r="D157" s="2" t="s">
        <v>25</v>
      </c>
      <c r="F157" s="2" t="s">
        <v>122</v>
      </c>
      <c r="G157" s="2" t="s">
        <v>120</v>
      </c>
      <c r="H157" s="2" t="s">
        <v>29</v>
      </c>
      <c r="I157" s="2" t="s">
        <v>244</v>
      </c>
      <c r="J157" s="2" t="s">
        <v>31</v>
      </c>
      <c r="K157" s="2" t="s">
        <v>33</v>
      </c>
      <c r="L157" s="2" t="s">
        <v>33</v>
      </c>
      <c r="N157" s="2" t="s">
        <v>33</v>
      </c>
      <c r="O157" s="2" t="s">
        <v>33</v>
      </c>
      <c r="P157" s="2" t="s">
        <v>33</v>
      </c>
      <c r="Q157" s="2" t="s">
        <v>33</v>
      </c>
      <c r="R157" s="2" t="s">
        <v>52</v>
      </c>
      <c r="S157" s="2" t="s">
        <v>210</v>
      </c>
      <c r="T157" s="2" t="s">
        <v>35</v>
      </c>
      <c r="U157" s="2" t="s">
        <v>130</v>
      </c>
      <c r="V157" s="2" t="s">
        <v>37</v>
      </c>
      <c r="W157" s="2" t="s">
        <v>125</v>
      </c>
      <c r="X157" s="2" t="s">
        <v>245</v>
      </c>
      <c r="Y157" s="2" t="s">
        <v>208</v>
      </c>
      <c r="AA157" s="3"/>
    </row>
    <row r="158" ht="14.25" customHeight="1">
      <c r="A158" s="2">
        <v>40.0</v>
      </c>
      <c r="B158" s="3">
        <v>45611.575</v>
      </c>
      <c r="C158" s="3">
        <v>45611.5753703704</v>
      </c>
      <c r="D158" s="2" t="s">
        <v>25</v>
      </c>
      <c r="F158" s="2" t="s">
        <v>122</v>
      </c>
      <c r="G158" s="2" t="s">
        <v>120</v>
      </c>
      <c r="H158" s="2" t="s">
        <v>29</v>
      </c>
      <c r="I158" s="2" t="s">
        <v>50</v>
      </c>
      <c r="J158" s="2" t="s">
        <v>31</v>
      </c>
      <c r="K158" s="2" t="s">
        <v>32</v>
      </c>
      <c r="L158" s="2" t="s">
        <v>31</v>
      </c>
      <c r="N158" s="2" t="s">
        <v>33</v>
      </c>
      <c r="O158" s="2" t="s">
        <v>33</v>
      </c>
      <c r="P158" s="2" t="s">
        <v>33</v>
      </c>
      <c r="Q158" s="2" t="s">
        <v>51</v>
      </c>
      <c r="R158" s="2" t="s">
        <v>31</v>
      </c>
      <c r="S158" s="2" t="s">
        <v>226</v>
      </c>
      <c r="T158" s="2" t="s">
        <v>246</v>
      </c>
      <c r="U158" s="2" t="s">
        <v>36</v>
      </c>
      <c r="V158" s="2" t="s">
        <v>221</v>
      </c>
      <c r="W158" s="2" t="s">
        <v>63</v>
      </c>
      <c r="X158" s="2" t="s">
        <v>247</v>
      </c>
      <c r="Y158" s="2" t="s">
        <v>176</v>
      </c>
      <c r="AA158" s="3"/>
    </row>
    <row r="159" ht="14.25" customHeight="1">
      <c r="A159" s="2">
        <v>41.0</v>
      </c>
      <c r="B159" s="3">
        <v>45611.5750925926</v>
      </c>
      <c r="C159" s="3">
        <v>45611.5755208333</v>
      </c>
      <c r="D159" s="2" t="s">
        <v>25</v>
      </c>
      <c r="F159" s="2" t="s">
        <v>122</v>
      </c>
      <c r="G159" s="2" t="s">
        <v>120</v>
      </c>
      <c r="H159" s="2" t="s">
        <v>128</v>
      </c>
      <c r="Y159" s="2" t="s">
        <v>208</v>
      </c>
      <c r="AA159" s="3"/>
    </row>
    <row r="160" ht="14.25" customHeight="1">
      <c r="A160" s="2">
        <v>42.0</v>
      </c>
      <c r="B160" s="3">
        <v>45611.5749884259</v>
      </c>
      <c r="C160" s="3">
        <v>45611.5762615741</v>
      </c>
      <c r="D160" s="2" t="s">
        <v>25</v>
      </c>
      <c r="F160" s="2" t="s">
        <v>122</v>
      </c>
      <c r="G160" s="2" t="s">
        <v>120</v>
      </c>
      <c r="H160" s="2" t="s">
        <v>128</v>
      </c>
      <c r="Y160" s="2" t="s">
        <v>208</v>
      </c>
      <c r="AA160" s="3"/>
    </row>
    <row r="161" ht="14.25" customHeight="1">
      <c r="A161" s="2">
        <v>43.0</v>
      </c>
      <c r="B161" s="3">
        <v>45611.5686689815</v>
      </c>
      <c r="C161" s="3">
        <v>45611.5777893519</v>
      </c>
      <c r="D161" s="2" t="s">
        <v>25</v>
      </c>
      <c r="F161" s="2" t="s">
        <v>122</v>
      </c>
      <c r="G161" s="2" t="s">
        <v>120</v>
      </c>
      <c r="H161" s="2" t="s">
        <v>128</v>
      </c>
      <c r="Y161" s="2" t="s">
        <v>208</v>
      </c>
      <c r="AA161" s="3"/>
    </row>
    <row r="162" ht="14.25" customHeight="1">
      <c r="A162" s="2">
        <v>44.0</v>
      </c>
      <c r="B162" s="3">
        <v>45611.5783333333</v>
      </c>
      <c r="C162" s="3">
        <v>45611.5786805556</v>
      </c>
      <c r="D162" s="2" t="s">
        <v>25</v>
      </c>
      <c r="F162" s="2" t="s">
        <v>122</v>
      </c>
      <c r="G162" s="2" t="s">
        <v>120</v>
      </c>
      <c r="H162" s="2" t="s">
        <v>29</v>
      </c>
      <c r="I162" s="2" t="s">
        <v>43</v>
      </c>
      <c r="J162" s="2" t="s">
        <v>31</v>
      </c>
      <c r="S162" s="2" t="s">
        <v>215</v>
      </c>
      <c r="T162" s="2" t="s">
        <v>35</v>
      </c>
      <c r="U162" s="2" t="s">
        <v>130</v>
      </c>
      <c r="V162" s="2" t="s">
        <v>37</v>
      </c>
      <c r="W162" s="2" t="s">
        <v>38</v>
      </c>
      <c r="X162" s="2" t="s">
        <v>248</v>
      </c>
      <c r="Y162" s="2" t="s">
        <v>48</v>
      </c>
      <c r="AA162" s="3"/>
    </row>
    <row r="163" ht="14.25" customHeight="1">
      <c r="A163" s="2">
        <v>45.0</v>
      </c>
      <c r="B163" s="3">
        <v>45611.5781597222</v>
      </c>
      <c r="C163" s="3">
        <v>45611.578912037</v>
      </c>
      <c r="D163" s="2" t="s">
        <v>25</v>
      </c>
      <c r="F163" s="2" t="s">
        <v>122</v>
      </c>
      <c r="G163" s="2" t="s">
        <v>120</v>
      </c>
      <c r="H163" s="2" t="s">
        <v>128</v>
      </c>
      <c r="Y163" s="2" t="s">
        <v>249</v>
      </c>
      <c r="AA163" s="3"/>
    </row>
    <row r="164" ht="14.25" customHeight="1">
      <c r="A164" s="2">
        <v>46.0</v>
      </c>
      <c r="B164" s="3">
        <v>45611.5792013889</v>
      </c>
      <c r="C164" s="3">
        <v>45611.5798148148</v>
      </c>
      <c r="D164" s="2" t="s">
        <v>25</v>
      </c>
      <c r="F164" s="2" t="s">
        <v>122</v>
      </c>
      <c r="G164" s="2" t="s">
        <v>120</v>
      </c>
      <c r="H164" s="2" t="s">
        <v>128</v>
      </c>
      <c r="Y164" s="2" t="s">
        <v>208</v>
      </c>
      <c r="AA164" s="3"/>
    </row>
    <row r="165" ht="14.25" customHeight="1">
      <c r="A165" s="2">
        <v>47.0</v>
      </c>
      <c r="B165" s="3">
        <v>45611.5781597222</v>
      </c>
      <c r="C165" s="3">
        <v>45611.5800694444</v>
      </c>
      <c r="D165" s="2" t="s">
        <v>25</v>
      </c>
      <c r="F165" s="2" t="s">
        <v>122</v>
      </c>
      <c r="G165" s="2" t="s">
        <v>120</v>
      </c>
      <c r="H165" s="2" t="s">
        <v>128</v>
      </c>
      <c r="Y165" s="2" t="s">
        <v>208</v>
      </c>
      <c r="AA165" s="3"/>
    </row>
    <row r="166" ht="14.25" customHeight="1">
      <c r="A166" s="2">
        <v>48.0</v>
      </c>
      <c r="B166" s="3">
        <v>45611.5747222222</v>
      </c>
      <c r="C166" s="3">
        <v>45611.5801851852</v>
      </c>
      <c r="D166" s="2" t="s">
        <v>25</v>
      </c>
      <c r="F166" s="2" t="s">
        <v>122</v>
      </c>
      <c r="G166" s="2" t="s">
        <v>120</v>
      </c>
      <c r="H166" s="2" t="s">
        <v>128</v>
      </c>
      <c r="Y166" s="2" t="s">
        <v>208</v>
      </c>
      <c r="AA166" s="3"/>
    </row>
    <row r="167" ht="14.25" customHeight="1">
      <c r="A167" s="2">
        <v>49.0</v>
      </c>
      <c r="B167" s="3">
        <v>45611.5810648148</v>
      </c>
      <c r="C167" s="3">
        <v>45611.5819791667</v>
      </c>
      <c r="D167" s="2" t="s">
        <v>25</v>
      </c>
      <c r="F167" s="2" t="s">
        <v>122</v>
      </c>
      <c r="G167" s="2" t="s">
        <v>120</v>
      </c>
      <c r="H167" s="2" t="s">
        <v>29</v>
      </c>
      <c r="I167" s="2" t="s">
        <v>250</v>
      </c>
      <c r="J167" s="2" t="s">
        <v>31</v>
      </c>
      <c r="S167" s="2" t="s">
        <v>215</v>
      </c>
      <c r="T167" s="2" t="s">
        <v>35</v>
      </c>
      <c r="U167" s="2" t="s">
        <v>146</v>
      </c>
      <c r="V167" s="2" t="s">
        <v>92</v>
      </c>
      <c r="W167" s="2" t="s">
        <v>38</v>
      </c>
      <c r="X167" s="2" t="s">
        <v>251</v>
      </c>
      <c r="Y167" s="2" t="s">
        <v>208</v>
      </c>
      <c r="AA167" s="3"/>
    </row>
    <row r="168" ht="14.25" customHeight="1">
      <c r="A168" s="2">
        <v>50.0</v>
      </c>
      <c r="B168" s="3">
        <v>45611.5844907407</v>
      </c>
      <c r="C168" s="3">
        <v>45611.5853472222</v>
      </c>
      <c r="D168" s="2" t="s">
        <v>25</v>
      </c>
      <c r="F168" s="2" t="s">
        <v>122</v>
      </c>
      <c r="G168" s="2" t="s">
        <v>120</v>
      </c>
      <c r="H168" s="2" t="s">
        <v>128</v>
      </c>
      <c r="Y168" s="2" t="s">
        <v>208</v>
      </c>
      <c r="AA168" s="3"/>
    </row>
    <row r="169" ht="14.25" customHeight="1">
      <c r="A169" s="2">
        <v>51.0</v>
      </c>
      <c r="B169" s="3">
        <v>45611.5857986111</v>
      </c>
      <c r="C169" s="3">
        <v>45611.5862731481</v>
      </c>
      <c r="D169" s="2" t="s">
        <v>25</v>
      </c>
      <c r="F169" s="2" t="s">
        <v>122</v>
      </c>
      <c r="G169" s="2" t="s">
        <v>120</v>
      </c>
      <c r="H169" s="2" t="s">
        <v>29</v>
      </c>
      <c r="I169" s="2" t="s">
        <v>30</v>
      </c>
      <c r="J169" s="2" t="s">
        <v>52</v>
      </c>
      <c r="K169" s="2" t="s">
        <v>33</v>
      </c>
      <c r="L169" s="2" t="s">
        <v>52</v>
      </c>
      <c r="N169" s="2" t="s">
        <v>52</v>
      </c>
      <c r="O169" s="2" t="s">
        <v>52</v>
      </c>
      <c r="P169" s="2" t="s">
        <v>33</v>
      </c>
      <c r="Q169" s="2" t="s">
        <v>33</v>
      </c>
      <c r="R169" s="2" t="s">
        <v>33</v>
      </c>
      <c r="S169" s="2" t="s">
        <v>215</v>
      </c>
      <c r="T169" s="2" t="s">
        <v>252</v>
      </c>
      <c r="U169" s="2" t="s">
        <v>45</v>
      </c>
      <c r="V169" s="2" t="s">
        <v>37</v>
      </c>
      <c r="W169" s="2" t="s">
        <v>125</v>
      </c>
      <c r="X169" s="2" t="s">
        <v>78</v>
      </c>
      <c r="Y169" s="2" t="s">
        <v>208</v>
      </c>
      <c r="AA169" s="3"/>
    </row>
    <row r="170" ht="14.25" customHeight="1">
      <c r="A170" s="2">
        <v>52.0</v>
      </c>
      <c r="B170" s="3">
        <v>45611.5775347222</v>
      </c>
      <c r="C170" s="3">
        <v>45611.5886342593</v>
      </c>
      <c r="D170" s="2" t="s">
        <v>25</v>
      </c>
      <c r="F170" s="2" t="s">
        <v>122</v>
      </c>
      <c r="G170" s="2" t="s">
        <v>120</v>
      </c>
      <c r="H170" s="2" t="s">
        <v>128</v>
      </c>
      <c r="Y170" s="2" t="s">
        <v>208</v>
      </c>
      <c r="AA170" s="3"/>
    </row>
    <row r="171" ht="14.25" customHeight="1">
      <c r="A171" s="2">
        <v>53.0</v>
      </c>
      <c r="B171" s="3">
        <v>45611.5962847222</v>
      </c>
      <c r="C171" s="3">
        <v>45611.5968981481</v>
      </c>
      <c r="D171" s="2" t="s">
        <v>25</v>
      </c>
      <c r="F171" s="2" t="s">
        <v>122</v>
      </c>
      <c r="G171" s="2" t="s">
        <v>120</v>
      </c>
      <c r="H171" s="2" t="s">
        <v>29</v>
      </c>
      <c r="I171" s="2" t="s">
        <v>253</v>
      </c>
      <c r="J171" s="2" t="s">
        <v>31</v>
      </c>
      <c r="K171" s="2" t="s">
        <v>32</v>
      </c>
      <c r="L171" s="2" t="s">
        <v>32</v>
      </c>
      <c r="N171" s="2" t="s">
        <v>33</v>
      </c>
      <c r="O171" s="2" t="s">
        <v>33</v>
      </c>
      <c r="P171" s="2" t="s">
        <v>32</v>
      </c>
      <c r="Q171" s="2" t="s">
        <v>33</v>
      </c>
      <c r="R171" s="2" t="s">
        <v>32</v>
      </c>
      <c r="S171" s="2" t="s">
        <v>215</v>
      </c>
      <c r="T171" s="2" t="s">
        <v>254</v>
      </c>
      <c r="U171" s="2" t="s">
        <v>36</v>
      </c>
      <c r="V171" s="2" t="s">
        <v>37</v>
      </c>
      <c r="W171" s="2" t="s">
        <v>63</v>
      </c>
      <c r="X171" s="2" t="s">
        <v>255</v>
      </c>
      <c r="Y171" s="2" t="s">
        <v>108</v>
      </c>
      <c r="AA171" s="3"/>
    </row>
    <row r="172" ht="14.25" customHeight="1">
      <c r="A172" s="2">
        <v>54.0</v>
      </c>
      <c r="B172" s="3">
        <v>45611.604224537</v>
      </c>
      <c r="C172" s="3">
        <v>45611.604375</v>
      </c>
      <c r="D172" s="2" t="s">
        <v>25</v>
      </c>
      <c r="F172" s="2" t="s">
        <v>122</v>
      </c>
      <c r="G172" s="2" t="s">
        <v>120</v>
      </c>
      <c r="H172" s="2" t="s">
        <v>128</v>
      </c>
      <c r="Y172" s="2" t="s">
        <v>48</v>
      </c>
      <c r="AA172" s="3"/>
    </row>
    <row r="173" ht="14.25" customHeight="1">
      <c r="A173" s="2">
        <v>55.0</v>
      </c>
      <c r="B173" s="3">
        <v>45611.6673611111</v>
      </c>
      <c r="C173" s="3">
        <v>45611.6764699074</v>
      </c>
      <c r="D173" s="2" t="s">
        <v>25</v>
      </c>
      <c r="F173" s="2" t="s">
        <v>122</v>
      </c>
      <c r="G173" s="2" t="s">
        <v>120</v>
      </c>
      <c r="H173" s="2" t="s">
        <v>128</v>
      </c>
      <c r="Y173" s="2" t="s">
        <v>208</v>
      </c>
      <c r="AA173" s="3"/>
    </row>
    <row r="174" ht="14.25" customHeight="1">
      <c r="A174" s="2">
        <v>56.0</v>
      </c>
      <c r="B174" s="3">
        <v>45611.6899768518</v>
      </c>
      <c r="C174" s="3">
        <v>45611.6902430556</v>
      </c>
      <c r="D174" s="2" t="s">
        <v>25</v>
      </c>
      <c r="F174" s="2" t="s">
        <v>122</v>
      </c>
      <c r="G174" s="2" t="s">
        <v>120</v>
      </c>
      <c r="H174" s="2" t="s">
        <v>29</v>
      </c>
      <c r="I174" s="2" t="s">
        <v>30</v>
      </c>
      <c r="J174" s="2" t="s">
        <v>52</v>
      </c>
      <c r="S174" s="2" t="s">
        <v>215</v>
      </c>
      <c r="T174" s="2" t="s">
        <v>256</v>
      </c>
      <c r="U174" s="2" t="s">
        <v>36</v>
      </c>
      <c r="V174" s="2" t="s">
        <v>92</v>
      </c>
      <c r="W174" s="2" t="s">
        <v>125</v>
      </c>
      <c r="X174" s="2" t="s">
        <v>216</v>
      </c>
      <c r="Y174" s="2" t="s">
        <v>48</v>
      </c>
      <c r="AA174" s="3"/>
    </row>
    <row r="175" ht="14.25" customHeight="1">
      <c r="A175" s="2">
        <v>57.0</v>
      </c>
      <c r="B175" s="3">
        <v>45611.6962384259</v>
      </c>
      <c r="C175" s="3">
        <v>45611.6964467593</v>
      </c>
      <c r="D175" s="2" t="s">
        <v>25</v>
      </c>
      <c r="F175" s="2" t="s">
        <v>122</v>
      </c>
      <c r="G175" s="2" t="s">
        <v>120</v>
      </c>
      <c r="H175" s="2" t="s">
        <v>128</v>
      </c>
      <c r="Y175" s="2" t="s">
        <v>208</v>
      </c>
      <c r="AA175" s="3"/>
    </row>
    <row r="176" ht="14.25" customHeight="1">
      <c r="A176" s="2">
        <v>58.0</v>
      </c>
      <c r="B176" s="3">
        <v>45614.3628009259</v>
      </c>
      <c r="C176" s="3">
        <v>45614.3632986111</v>
      </c>
      <c r="D176" s="2" t="s">
        <v>25</v>
      </c>
      <c r="F176" s="2" t="s">
        <v>122</v>
      </c>
      <c r="G176" s="2" t="s">
        <v>120</v>
      </c>
      <c r="H176" s="2" t="s">
        <v>128</v>
      </c>
      <c r="Y176" s="2" t="s">
        <v>208</v>
      </c>
      <c r="AA176" s="3"/>
    </row>
    <row r="177" ht="14.25" customHeight="1">
      <c r="A177" s="2">
        <v>59.0</v>
      </c>
      <c r="B177" s="3">
        <v>45614.3975810185</v>
      </c>
      <c r="C177" s="3">
        <v>45614.3978587963</v>
      </c>
      <c r="D177" s="2" t="s">
        <v>25</v>
      </c>
      <c r="F177" s="2" t="s">
        <v>122</v>
      </c>
      <c r="G177" s="2" t="s">
        <v>120</v>
      </c>
      <c r="H177" s="2" t="s">
        <v>128</v>
      </c>
      <c r="Y177" s="2" t="s">
        <v>108</v>
      </c>
      <c r="AA177" s="3"/>
    </row>
    <row r="178" ht="14.25" customHeight="1">
      <c r="A178" s="2">
        <v>60.0</v>
      </c>
      <c r="B178" s="3">
        <v>45614.5188425926</v>
      </c>
      <c r="C178" s="3">
        <v>45614.5198148148</v>
      </c>
      <c r="D178" s="2" t="s">
        <v>25</v>
      </c>
      <c r="F178" s="2" t="s">
        <v>122</v>
      </c>
      <c r="G178" s="2" t="s">
        <v>120</v>
      </c>
      <c r="H178" s="2" t="s">
        <v>128</v>
      </c>
      <c r="Y178" s="2" t="s">
        <v>208</v>
      </c>
      <c r="AA178" s="3"/>
    </row>
    <row r="179" ht="14.25" customHeight="1">
      <c r="A179" s="2">
        <v>61.0</v>
      </c>
      <c r="B179" s="3">
        <v>45616.3312384259</v>
      </c>
      <c r="C179" s="3">
        <v>45616.3315740741</v>
      </c>
      <c r="D179" s="2" t="s">
        <v>25</v>
      </c>
      <c r="F179" s="2" t="s">
        <v>122</v>
      </c>
      <c r="G179" s="2" t="s">
        <v>120</v>
      </c>
      <c r="H179" s="2" t="s">
        <v>128</v>
      </c>
      <c r="Y179" s="2" t="s">
        <v>208</v>
      </c>
      <c r="AA179" s="3"/>
    </row>
    <row r="180" ht="14.25" customHeight="1">
      <c r="A180" s="2">
        <v>62.0</v>
      </c>
      <c r="B180" s="3">
        <v>45616.4022453704</v>
      </c>
      <c r="C180" s="3">
        <v>45616.4026041667</v>
      </c>
      <c r="D180" s="2" t="s">
        <v>25</v>
      </c>
      <c r="F180" s="2" t="s">
        <v>122</v>
      </c>
      <c r="G180" s="2" t="s">
        <v>120</v>
      </c>
      <c r="H180" s="2" t="s">
        <v>128</v>
      </c>
      <c r="Y180" s="2" t="s">
        <v>208</v>
      </c>
      <c r="AA180" s="3"/>
    </row>
    <row r="181" ht="14.25" customHeight="1">
      <c r="A181" s="2">
        <v>63.0</v>
      </c>
      <c r="B181" s="3">
        <v>45617.4703240741</v>
      </c>
      <c r="C181" s="3">
        <v>45617.4730439815</v>
      </c>
      <c r="D181" s="2" t="s">
        <v>25</v>
      </c>
      <c r="F181" s="2" t="s">
        <v>122</v>
      </c>
      <c r="G181" s="2" t="s">
        <v>120</v>
      </c>
      <c r="H181" s="2" t="s">
        <v>128</v>
      </c>
      <c r="Y181" s="2" t="s">
        <v>208</v>
      </c>
      <c r="AA181" s="3"/>
    </row>
    <row r="182" ht="14.25" customHeight="1">
      <c r="B182" s="3"/>
      <c r="C182" s="3"/>
      <c r="AA182" s="3"/>
    </row>
    <row r="183" ht="14.25" customHeight="1">
      <c r="B183" s="3"/>
      <c r="C183" s="3"/>
      <c r="H183" s="2">
        <f>COUNTIF(H2:H181, "Ja")</f>
        <v>137</v>
      </c>
      <c r="AA183" s="3"/>
    </row>
    <row r="184" ht="14.25" customHeight="1">
      <c r="B184" s="3"/>
      <c r="C184" s="3"/>
      <c r="J184" s="2">
        <f t="shared" ref="J184:R184" si="1">COUNTIF(J2:J180, "Nie")
</f>
        <v>4</v>
      </c>
      <c r="K184" s="2">
        <f t="shared" si="1"/>
        <v>51</v>
      </c>
      <c r="L184" s="2">
        <f t="shared" si="1"/>
        <v>47</v>
      </c>
      <c r="M184" s="2">
        <f t="shared" si="1"/>
        <v>40</v>
      </c>
      <c r="N184" s="2">
        <f t="shared" si="1"/>
        <v>58</v>
      </c>
      <c r="O184" s="2">
        <f t="shared" si="1"/>
        <v>61</v>
      </c>
      <c r="P184" s="2">
        <f t="shared" si="1"/>
        <v>51</v>
      </c>
      <c r="Q184" s="2">
        <f t="shared" si="1"/>
        <v>46</v>
      </c>
      <c r="R184" s="2">
        <f t="shared" si="1"/>
        <v>20</v>
      </c>
      <c r="AA184" s="3"/>
    </row>
    <row r="185" ht="14.25" customHeight="1">
      <c r="B185" s="3"/>
      <c r="C185" s="3"/>
      <c r="J185" s="2">
        <f t="shared" ref="J185:R185" si="2">COUNTIF(J2:J180, "Mal probiert")
</f>
        <v>25</v>
      </c>
      <c r="K185" s="2">
        <f t="shared" si="2"/>
        <v>10</v>
      </c>
      <c r="L185" s="2">
        <f t="shared" si="2"/>
        <v>26</v>
      </c>
      <c r="M185" s="2">
        <f t="shared" si="2"/>
        <v>10</v>
      </c>
      <c r="N185" s="2">
        <f t="shared" si="2"/>
        <v>14</v>
      </c>
      <c r="O185" s="2">
        <f t="shared" si="2"/>
        <v>6</v>
      </c>
      <c r="P185" s="2">
        <f t="shared" si="2"/>
        <v>1</v>
      </c>
      <c r="Q185" s="2">
        <f t="shared" si="2"/>
        <v>34</v>
      </c>
      <c r="R185" s="2">
        <f t="shared" si="2"/>
        <v>57</v>
      </c>
      <c r="AA185" s="3"/>
    </row>
    <row r="186" ht="14.25" customHeight="1">
      <c r="B186" s="3"/>
      <c r="C186" s="3"/>
      <c r="J186" s="2">
        <f t="shared" ref="J186:R186" si="3">COUNTIF(J1:J179, "Wöchentlich")
</f>
        <v>41</v>
      </c>
      <c r="K186" s="2">
        <f t="shared" si="3"/>
        <v>2</v>
      </c>
      <c r="L186" s="2">
        <f t="shared" si="3"/>
        <v>7</v>
      </c>
      <c r="M186" s="2">
        <f t="shared" si="3"/>
        <v>6</v>
      </c>
      <c r="N186" s="2">
        <f t="shared" si="3"/>
        <v>9</v>
      </c>
      <c r="O186" s="2">
        <f t="shared" si="3"/>
        <v>4</v>
      </c>
      <c r="P186" s="2">
        <f t="shared" si="3"/>
        <v>1</v>
      </c>
      <c r="Q186" s="2">
        <f t="shared" si="3"/>
        <v>9</v>
      </c>
      <c r="R186" s="2">
        <f t="shared" si="3"/>
        <v>20</v>
      </c>
      <c r="AA186" s="3"/>
    </row>
    <row r="187" ht="14.25" customHeight="1">
      <c r="B187" s="3"/>
      <c r="C187" s="3"/>
      <c r="J187" s="2">
        <f t="shared" ref="J187:R187" si="4">COUNTIF(J3:J181, "Täglich")
</f>
        <v>62</v>
      </c>
      <c r="K187" s="2">
        <f t="shared" si="4"/>
        <v>2</v>
      </c>
      <c r="L187" s="2">
        <f t="shared" si="4"/>
        <v>2</v>
      </c>
      <c r="M187" s="2">
        <f t="shared" si="4"/>
        <v>0</v>
      </c>
      <c r="N187" s="2">
        <f t="shared" si="4"/>
        <v>8</v>
      </c>
      <c r="O187" s="2">
        <f t="shared" si="4"/>
        <v>1</v>
      </c>
      <c r="P187" s="2">
        <f t="shared" si="4"/>
        <v>0</v>
      </c>
      <c r="Q187" s="2">
        <f t="shared" si="4"/>
        <v>5</v>
      </c>
      <c r="R187" s="2">
        <f t="shared" si="4"/>
        <v>2</v>
      </c>
      <c r="AA187" s="3"/>
    </row>
    <row r="188" ht="14.25" customHeight="1">
      <c r="B188" s="3"/>
      <c r="C188" s="3"/>
      <c r="J188" s="2">
        <f t="shared" ref="J188:R188" si="5">COUNTIF(J3:J181, "unbekannt")
</f>
        <v>0</v>
      </c>
      <c r="K188" s="2">
        <f t="shared" si="5"/>
        <v>26</v>
      </c>
      <c r="L188" s="2">
        <f t="shared" si="5"/>
        <v>12</v>
      </c>
      <c r="M188" s="2">
        <f t="shared" si="5"/>
        <v>25</v>
      </c>
      <c r="N188" s="2">
        <f t="shared" si="5"/>
        <v>9</v>
      </c>
      <c r="O188" s="2">
        <f t="shared" si="5"/>
        <v>20</v>
      </c>
      <c r="P188" s="2">
        <f t="shared" si="5"/>
        <v>36</v>
      </c>
      <c r="Q188" s="2">
        <f t="shared" si="5"/>
        <v>5</v>
      </c>
      <c r="R188" s="2">
        <f t="shared" si="5"/>
        <v>5</v>
      </c>
      <c r="AA188" s="3"/>
    </row>
    <row r="189" ht="14.25" customHeight="1">
      <c r="B189" s="3"/>
      <c r="C189" s="3"/>
      <c r="AA189" s="3"/>
    </row>
    <row r="190" ht="14.25" customHeight="1">
      <c r="B190" s="3"/>
      <c r="C190" s="3"/>
      <c r="AA190" s="3"/>
    </row>
    <row r="191" ht="14.25" customHeight="1">
      <c r="B191" s="3"/>
      <c r="C191" s="3"/>
      <c r="AA191" s="3"/>
    </row>
    <row r="192" ht="14.25" customHeight="1">
      <c r="B192" s="3"/>
      <c r="C192" s="3"/>
      <c r="AA192" s="3"/>
    </row>
    <row r="193" ht="14.25" customHeight="1">
      <c r="B193" s="3"/>
      <c r="C193" s="3"/>
      <c r="AA193" s="3"/>
    </row>
    <row r="194" ht="14.25" customHeight="1">
      <c r="B194" s="3"/>
      <c r="C194" s="3"/>
      <c r="AA194" s="3"/>
    </row>
    <row r="195" ht="14.25" customHeight="1">
      <c r="B195" s="3"/>
      <c r="C195" s="3"/>
      <c r="AA195" s="3"/>
    </row>
    <row r="196" ht="14.25" customHeight="1">
      <c r="B196" s="3"/>
      <c r="C196" s="3"/>
      <c r="AA196" s="3"/>
    </row>
    <row r="197" ht="14.25" customHeight="1">
      <c r="B197" s="3"/>
      <c r="C197" s="3"/>
      <c r="AA197" s="3"/>
    </row>
    <row r="198" ht="14.25" customHeight="1">
      <c r="B198" s="3"/>
      <c r="C198" s="3"/>
      <c r="AA198" s="3"/>
    </row>
    <row r="199" ht="14.25" customHeight="1">
      <c r="B199" s="3"/>
      <c r="C199" s="3"/>
      <c r="AA199" s="3"/>
    </row>
    <row r="200" ht="14.25" customHeight="1">
      <c r="B200" s="3"/>
      <c r="C200" s="3"/>
      <c r="AA200" s="3"/>
    </row>
    <row r="201" ht="14.25" customHeight="1">
      <c r="B201" s="3"/>
      <c r="C201" s="3"/>
      <c r="AA201" s="3"/>
    </row>
    <row r="202" ht="14.25" customHeight="1">
      <c r="B202" s="3"/>
      <c r="C202" s="3"/>
      <c r="AA202" s="3"/>
    </row>
    <row r="203" ht="14.25" customHeight="1">
      <c r="B203" s="3"/>
      <c r="C203" s="3"/>
      <c r="AA203" s="3"/>
    </row>
    <row r="204" ht="14.25" customHeight="1">
      <c r="B204" s="3"/>
      <c r="C204" s="3"/>
      <c r="AA204" s="3"/>
    </row>
    <row r="205" ht="14.25" customHeight="1">
      <c r="B205" s="3"/>
      <c r="C205" s="3"/>
      <c r="AA205" s="3"/>
    </row>
    <row r="206" ht="14.25" customHeight="1">
      <c r="B206" s="3"/>
      <c r="C206" s="3"/>
      <c r="AA206" s="3"/>
    </row>
    <row r="207" ht="14.25" customHeight="1">
      <c r="B207" s="3"/>
      <c r="C207" s="3"/>
      <c r="AA207" s="3"/>
    </row>
    <row r="208" ht="14.25" customHeight="1">
      <c r="B208" s="3"/>
      <c r="C208" s="3"/>
      <c r="AA208" s="3"/>
    </row>
    <row r="209" ht="14.25" customHeight="1">
      <c r="B209" s="3"/>
      <c r="C209" s="3"/>
      <c r="AA209" s="3"/>
    </row>
    <row r="210" ht="14.25" customHeight="1">
      <c r="B210" s="3"/>
      <c r="C210" s="3"/>
      <c r="AA210" s="3"/>
    </row>
    <row r="211" ht="14.25" customHeight="1">
      <c r="B211" s="3"/>
      <c r="C211" s="3"/>
      <c r="AA211" s="3"/>
    </row>
    <row r="212" ht="14.25" customHeight="1">
      <c r="B212" s="3"/>
      <c r="C212" s="3"/>
      <c r="AA212" s="3"/>
    </row>
    <row r="213" ht="14.25" customHeight="1">
      <c r="B213" s="3"/>
      <c r="C213" s="3"/>
      <c r="AA213" s="3"/>
    </row>
    <row r="214" ht="14.25" customHeight="1">
      <c r="B214" s="3"/>
      <c r="C214" s="3"/>
      <c r="AA214" s="3"/>
    </row>
    <row r="215" ht="14.25" customHeight="1">
      <c r="B215" s="3"/>
      <c r="C215" s="3"/>
      <c r="AA215" s="3"/>
    </row>
    <row r="216" ht="14.25" customHeight="1">
      <c r="B216" s="3"/>
      <c r="C216" s="3"/>
      <c r="AA216" s="3"/>
    </row>
    <row r="217" ht="14.25" customHeight="1">
      <c r="B217" s="3"/>
      <c r="C217" s="3"/>
      <c r="AA217" s="3"/>
    </row>
    <row r="218" ht="14.25" customHeight="1">
      <c r="B218" s="3"/>
      <c r="C218" s="3"/>
      <c r="AA218" s="3"/>
    </row>
    <row r="219" ht="14.25" customHeight="1">
      <c r="B219" s="3"/>
      <c r="C219" s="3"/>
      <c r="AA219" s="3"/>
    </row>
    <row r="220" ht="14.25" customHeight="1">
      <c r="B220" s="3"/>
      <c r="C220" s="3"/>
      <c r="AA220" s="3"/>
    </row>
    <row r="221" ht="14.25" customHeight="1">
      <c r="B221" s="3"/>
      <c r="C221" s="3"/>
      <c r="AA221" s="3"/>
    </row>
    <row r="222" ht="14.25" customHeight="1">
      <c r="B222" s="3"/>
      <c r="C222" s="3"/>
      <c r="AA222" s="3"/>
    </row>
    <row r="223" ht="14.25" customHeight="1">
      <c r="B223" s="3"/>
      <c r="C223" s="3"/>
      <c r="AA223" s="3"/>
    </row>
    <row r="224" ht="14.25" customHeight="1">
      <c r="B224" s="3"/>
      <c r="C224" s="3"/>
      <c r="AA224" s="3"/>
    </row>
    <row r="225" ht="14.25" customHeight="1">
      <c r="B225" s="3"/>
      <c r="C225" s="3"/>
      <c r="AA225" s="3"/>
    </row>
    <row r="226" ht="14.25" customHeight="1">
      <c r="B226" s="3"/>
      <c r="C226" s="3"/>
      <c r="AA226" s="3"/>
    </row>
    <row r="227" ht="14.25" customHeight="1">
      <c r="B227" s="3"/>
      <c r="C227" s="3"/>
      <c r="AA227" s="3"/>
    </row>
    <row r="228" ht="14.25" customHeight="1">
      <c r="B228" s="3"/>
      <c r="C228" s="3"/>
      <c r="AA228" s="3"/>
    </row>
    <row r="229" ht="14.25" customHeight="1">
      <c r="B229" s="3"/>
      <c r="C229" s="3"/>
      <c r="AA229" s="3"/>
    </row>
    <row r="230" ht="14.25" customHeight="1">
      <c r="B230" s="3"/>
      <c r="C230" s="3"/>
      <c r="AA230" s="3"/>
    </row>
    <row r="231" ht="14.25" customHeight="1">
      <c r="B231" s="3"/>
      <c r="C231" s="3"/>
      <c r="AA231" s="3"/>
    </row>
    <row r="232" ht="14.25" customHeight="1">
      <c r="B232" s="3"/>
      <c r="C232" s="3"/>
      <c r="AA232" s="3"/>
    </row>
    <row r="233" ht="14.25" customHeight="1">
      <c r="B233" s="3"/>
      <c r="C233" s="3"/>
      <c r="AA233" s="3"/>
    </row>
    <row r="234" ht="14.25" customHeight="1">
      <c r="B234" s="3"/>
      <c r="C234" s="3"/>
      <c r="AA234" s="3"/>
    </row>
    <row r="235" ht="14.25" customHeight="1">
      <c r="B235" s="3"/>
      <c r="C235" s="3"/>
      <c r="AA235" s="3"/>
    </row>
    <row r="236" ht="14.25" customHeight="1">
      <c r="B236" s="3"/>
      <c r="C236" s="3"/>
      <c r="AA236" s="3"/>
    </row>
    <row r="237" ht="14.25" customHeight="1">
      <c r="B237" s="3"/>
      <c r="C237" s="3"/>
      <c r="AA237" s="3"/>
    </row>
    <row r="238" ht="14.25" customHeight="1">
      <c r="B238" s="3"/>
      <c r="C238" s="3"/>
      <c r="AA238" s="3"/>
    </row>
    <row r="239" ht="14.25" customHeight="1">
      <c r="B239" s="3"/>
      <c r="C239" s="3"/>
      <c r="AA239" s="3"/>
    </row>
    <row r="240" ht="14.25" customHeight="1">
      <c r="B240" s="3"/>
      <c r="C240" s="3"/>
      <c r="AA240" s="3"/>
    </row>
    <row r="241" ht="14.25" customHeight="1">
      <c r="B241" s="3"/>
      <c r="C241" s="3"/>
      <c r="AA241" s="3"/>
    </row>
    <row r="242" ht="14.25" customHeight="1">
      <c r="B242" s="3"/>
      <c r="C242" s="3"/>
      <c r="AA242" s="3"/>
    </row>
    <row r="243" ht="14.25" customHeight="1">
      <c r="B243" s="3"/>
      <c r="C243" s="3"/>
      <c r="AA243" s="3"/>
    </row>
    <row r="244" ht="14.25" customHeight="1">
      <c r="B244" s="3"/>
      <c r="C244" s="3"/>
      <c r="AA244" s="3"/>
    </row>
    <row r="245" ht="14.25" customHeight="1">
      <c r="B245" s="3"/>
      <c r="C245" s="3"/>
      <c r="AA245" s="3"/>
    </row>
    <row r="246" ht="14.25" customHeight="1">
      <c r="B246" s="3"/>
      <c r="C246" s="3"/>
      <c r="AA246" s="3"/>
    </row>
    <row r="247" ht="14.25" customHeight="1">
      <c r="B247" s="3"/>
      <c r="C247" s="3"/>
      <c r="AA247" s="3"/>
    </row>
    <row r="248" ht="14.25" customHeight="1">
      <c r="B248" s="3"/>
      <c r="C248" s="3"/>
      <c r="AA248" s="3"/>
    </row>
    <row r="249" ht="14.25" customHeight="1">
      <c r="B249" s="3"/>
      <c r="C249" s="3"/>
      <c r="AA249" s="3"/>
    </row>
    <row r="250" ht="14.25" customHeight="1">
      <c r="B250" s="3"/>
      <c r="C250" s="3"/>
      <c r="AA250" s="3"/>
    </row>
    <row r="251" ht="14.25" customHeight="1">
      <c r="B251" s="3"/>
      <c r="C251" s="3"/>
      <c r="AA251" s="3"/>
    </row>
    <row r="252" ht="14.25" customHeight="1">
      <c r="B252" s="3"/>
      <c r="C252" s="3"/>
      <c r="AA252" s="3"/>
    </row>
    <row r="253" ht="14.25" customHeight="1">
      <c r="B253" s="3"/>
      <c r="C253" s="3"/>
      <c r="AA253" s="3"/>
    </row>
    <row r="254" ht="14.25" customHeight="1">
      <c r="B254" s="3"/>
      <c r="C254" s="3"/>
      <c r="AA254" s="3"/>
    </row>
    <row r="255" ht="14.25" customHeight="1">
      <c r="B255" s="3"/>
      <c r="C255" s="3"/>
      <c r="AA255" s="3"/>
    </row>
    <row r="256" ht="14.25" customHeight="1">
      <c r="B256" s="3"/>
      <c r="C256" s="3"/>
      <c r="AA256" s="3"/>
    </row>
    <row r="257" ht="14.25" customHeight="1">
      <c r="B257" s="3"/>
      <c r="C257" s="3"/>
      <c r="AA257" s="3"/>
    </row>
    <row r="258" ht="14.25" customHeight="1">
      <c r="B258" s="3"/>
      <c r="C258" s="3"/>
      <c r="AA258" s="3"/>
    </row>
    <row r="259" ht="14.25" customHeight="1">
      <c r="B259" s="3"/>
      <c r="C259" s="3"/>
      <c r="AA259" s="3"/>
    </row>
    <row r="260" ht="14.25" customHeight="1">
      <c r="B260" s="3"/>
      <c r="C260" s="3"/>
      <c r="AA260" s="3"/>
    </row>
    <row r="261" ht="14.25" customHeight="1">
      <c r="B261" s="3"/>
      <c r="C261" s="3"/>
      <c r="AA261" s="3"/>
    </row>
    <row r="262" ht="14.25" customHeight="1">
      <c r="B262" s="3"/>
      <c r="C262" s="3"/>
      <c r="AA262" s="3"/>
    </row>
    <row r="263" ht="14.25" customHeight="1">
      <c r="B263" s="3"/>
      <c r="C263" s="3"/>
      <c r="AA263" s="3"/>
    </row>
    <row r="264" ht="14.25" customHeight="1">
      <c r="B264" s="3"/>
      <c r="C264" s="3"/>
      <c r="AA264" s="3"/>
    </row>
    <row r="265" ht="14.25" customHeight="1">
      <c r="B265" s="3"/>
      <c r="C265" s="3"/>
      <c r="AA265" s="3"/>
    </row>
    <row r="266" ht="14.25" customHeight="1">
      <c r="B266" s="3"/>
      <c r="C266" s="3"/>
      <c r="AA266" s="3"/>
    </row>
    <row r="267" ht="14.25" customHeight="1">
      <c r="B267" s="3"/>
      <c r="C267" s="3"/>
      <c r="AA267" s="3"/>
    </row>
    <row r="268" ht="14.25" customHeight="1">
      <c r="B268" s="3"/>
      <c r="C268" s="3"/>
      <c r="AA268" s="3"/>
    </row>
    <row r="269" ht="14.25" customHeight="1">
      <c r="B269" s="3"/>
      <c r="C269" s="3"/>
      <c r="AA269" s="3"/>
    </row>
    <row r="270" ht="14.25" customHeight="1">
      <c r="B270" s="3"/>
      <c r="C270" s="3"/>
      <c r="AA270" s="3"/>
    </row>
    <row r="271" ht="14.25" customHeight="1">
      <c r="B271" s="3"/>
      <c r="C271" s="3"/>
      <c r="AA271" s="3"/>
    </row>
    <row r="272" ht="14.25" customHeight="1">
      <c r="B272" s="3"/>
      <c r="C272" s="3"/>
      <c r="AA272" s="3"/>
    </row>
    <row r="273" ht="14.25" customHeight="1">
      <c r="B273" s="3"/>
      <c r="C273" s="3"/>
      <c r="AA273" s="3"/>
    </row>
    <row r="274" ht="14.25" customHeight="1">
      <c r="B274" s="3"/>
      <c r="C274" s="3"/>
      <c r="AA274" s="3"/>
    </row>
    <row r="275" ht="14.25" customHeight="1">
      <c r="B275" s="3"/>
      <c r="C275" s="3"/>
      <c r="AA275" s="3"/>
    </row>
    <row r="276" ht="14.25" customHeight="1">
      <c r="B276" s="3"/>
      <c r="C276" s="3"/>
      <c r="AA276" s="3"/>
    </row>
    <row r="277" ht="14.25" customHeight="1">
      <c r="B277" s="3"/>
      <c r="C277" s="3"/>
      <c r="AA277" s="3"/>
    </row>
    <row r="278" ht="14.25" customHeight="1">
      <c r="B278" s="3"/>
      <c r="C278" s="3"/>
      <c r="AA278" s="3"/>
    </row>
    <row r="279" ht="14.25" customHeight="1">
      <c r="B279" s="3"/>
      <c r="C279" s="3"/>
      <c r="AA279" s="3"/>
    </row>
    <row r="280" ht="14.25" customHeight="1">
      <c r="B280" s="3"/>
      <c r="C280" s="3"/>
      <c r="AA280" s="3"/>
    </row>
    <row r="281" ht="14.25" customHeight="1">
      <c r="B281" s="3"/>
      <c r="C281" s="3"/>
      <c r="AA281" s="3"/>
    </row>
    <row r="282" ht="14.25" customHeight="1">
      <c r="B282" s="3"/>
      <c r="C282" s="3"/>
      <c r="AA282" s="3"/>
    </row>
    <row r="283" ht="14.25" customHeight="1">
      <c r="B283" s="3"/>
      <c r="C283" s="3"/>
      <c r="AA283" s="3"/>
    </row>
    <row r="284" ht="14.25" customHeight="1">
      <c r="B284" s="3"/>
      <c r="C284" s="3"/>
      <c r="AA284" s="3"/>
    </row>
    <row r="285" ht="14.25" customHeight="1">
      <c r="B285" s="3"/>
      <c r="C285" s="3"/>
      <c r="AA285" s="3"/>
    </row>
    <row r="286" ht="14.25" customHeight="1">
      <c r="B286" s="3"/>
      <c r="C286" s="3"/>
      <c r="AA286" s="3"/>
    </row>
    <row r="287" ht="14.25" customHeight="1">
      <c r="B287" s="3"/>
      <c r="C287" s="3"/>
      <c r="AA287" s="3"/>
    </row>
    <row r="288" ht="14.25" customHeight="1">
      <c r="B288" s="3"/>
      <c r="C288" s="3"/>
      <c r="AA288" s="3"/>
    </row>
    <row r="289" ht="14.25" customHeight="1">
      <c r="B289" s="3"/>
      <c r="C289" s="3"/>
      <c r="AA289" s="3"/>
    </row>
    <row r="290" ht="14.25" customHeight="1">
      <c r="B290" s="3"/>
      <c r="C290" s="3"/>
      <c r="AA290" s="3"/>
    </row>
    <row r="291" ht="14.25" customHeight="1">
      <c r="B291" s="3"/>
      <c r="C291" s="3"/>
      <c r="AA291" s="3"/>
    </row>
    <row r="292" ht="14.25" customHeight="1">
      <c r="B292" s="3"/>
      <c r="C292" s="3"/>
      <c r="AA292" s="3"/>
    </row>
    <row r="293" ht="14.25" customHeight="1">
      <c r="B293" s="3"/>
      <c r="C293" s="3"/>
      <c r="AA293" s="3"/>
    </row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/>
    <row r="1397" ht="14.25" customHeight="1"/>
    <row r="1398" ht="14.25" customHeight="1"/>
    <row r="1399" ht="14.25" customHeight="1"/>
    <row r="1400" ht="14.25" customHeight="1"/>
    <row r="1401" ht="14.25" customHeight="1"/>
    <row r="1402" ht="14.25" customHeight="1"/>
    <row r="1403" ht="14.25" customHeight="1"/>
    <row r="1404" ht="14.25" customHeight="1"/>
    <row r="1405" ht="14.25" customHeight="1"/>
    <row r="1406" ht="14.25" customHeight="1"/>
    <row r="1407" ht="14.25" customHeight="1"/>
    <row r="1408" ht="14.25" customHeight="1"/>
    <row r="1409" ht="14.25" customHeight="1"/>
    <row r="1410" ht="14.25" customHeight="1"/>
    <row r="1411" ht="14.25" customHeight="1"/>
    <row r="1412" ht="14.25" customHeight="1"/>
    <row r="1413" ht="14.25" customHeight="1"/>
    <row r="1414" ht="14.25" customHeight="1"/>
    <row r="1415" ht="14.25" customHeight="1"/>
    <row r="1416" ht="14.25" customHeight="1"/>
    <row r="1417" ht="14.25" customHeight="1"/>
    <row r="1418" ht="14.25" customHeight="1"/>
    <row r="1419" ht="14.25" customHeight="1"/>
    <row r="1420" ht="14.25" customHeight="1"/>
    <row r="1421" ht="14.25" customHeight="1"/>
    <row r="1422" ht="14.25" customHeight="1"/>
    <row r="1423" ht="14.25" customHeight="1"/>
    <row r="1424" ht="14.25" customHeight="1"/>
    <row r="1425" ht="14.25" customHeight="1"/>
    <row r="1426" ht="14.25" customHeight="1"/>
    <row r="1427" ht="14.25" customHeight="1"/>
    <row r="1428" ht="14.25" customHeight="1"/>
    <row r="1429" ht="14.25" customHeight="1"/>
    <row r="1430" ht="14.25" customHeight="1"/>
    <row r="1431" ht="14.25" customHeight="1"/>
    <row r="1432" ht="14.25" customHeight="1"/>
    <row r="1433" ht="14.25" customHeight="1"/>
    <row r="1434" ht="14.25" customHeight="1"/>
    <row r="1435" ht="14.25" customHeight="1"/>
    <row r="1436" ht="14.25" customHeight="1"/>
    <row r="1437" ht="14.25" customHeight="1"/>
    <row r="1438" ht="14.25" customHeight="1"/>
    <row r="1439" ht="14.25" customHeight="1"/>
    <row r="1440" ht="14.25" customHeight="1"/>
    <row r="1441" ht="14.25" customHeight="1"/>
    <row r="1442" ht="14.25" customHeight="1"/>
    <row r="1443" ht="14.25" customHeight="1"/>
    <row r="1444" ht="14.25" customHeight="1"/>
    <row r="1445" ht="14.25" customHeight="1"/>
    <row r="1446" ht="14.25" customHeight="1"/>
    <row r="1447" ht="14.25" customHeight="1"/>
    <row r="1448" ht="14.25" customHeight="1"/>
    <row r="1449" ht="14.25" customHeight="1"/>
    <row r="1450" ht="14.25" customHeight="1"/>
    <row r="1451" ht="14.25" customHeight="1"/>
    <row r="1452" ht="14.25" customHeight="1"/>
    <row r="1453" ht="14.25" customHeight="1"/>
    <row r="1454" ht="14.25" customHeight="1"/>
    <row r="1455" ht="14.25" customHeight="1"/>
    <row r="1456" ht="14.25" customHeight="1"/>
    <row r="1457" ht="14.25" customHeight="1"/>
    <row r="1458" ht="14.25" customHeight="1"/>
    <row r="1459" ht="14.25" customHeight="1"/>
    <row r="1460" ht="14.25" customHeight="1"/>
    <row r="1461" ht="14.25" customHeight="1"/>
    <row r="1462" ht="14.25" customHeight="1"/>
    <row r="1463" ht="14.25" customHeight="1"/>
    <row r="1464" ht="14.25" customHeight="1"/>
    <row r="1465" ht="14.25" customHeight="1"/>
    <row r="1466" ht="14.25" customHeight="1"/>
    <row r="1467" ht="14.25" customHeight="1"/>
    <row r="1468" ht="14.25" customHeight="1"/>
    <row r="1469" ht="14.25" customHeight="1"/>
    <row r="1470" ht="14.25" customHeight="1"/>
    <row r="1471" ht="14.25" customHeight="1"/>
    <row r="1472" ht="14.25" customHeight="1"/>
    <row r="1473" ht="14.25" customHeight="1"/>
    <row r="1474" ht="14.25" customHeight="1"/>
    <row r="1475" ht="14.25" customHeight="1"/>
    <row r="1476" ht="14.25" customHeight="1"/>
    <row r="1477" ht="14.25" customHeight="1"/>
    <row r="1478" ht="14.25" customHeight="1"/>
    <row r="1479" ht="14.25" customHeight="1"/>
    <row r="1480" ht="14.25" customHeight="1"/>
    <row r="1481" ht="14.25" customHeight="1"/>
    <row r="1482" ht="14.25" customHeight="1"/>
    <row r="1483" ht="14.25" customHeight="1"/>
    <row r="1484" ht="14.25" customHeight="1"/>
    <row r="1485" ht="14.25" customHeight="1"/>
    <row r="1486" ht="14.25" customHeight="1"/>
    <row r="1487" ht="14.25" customHeight="1"/>
    <row r="1488" ht="14.25" customHeight="1"/>
    <row r="1489" ht="14.25" customHeight="1"/>
    <row r="1490" ht="14.25" customHeight="1"/>
    <row r="1491" ht="14.25" customHeight="1"/>
    <row r="1492" ht="14.25" customHeight="1"/>
    <row r="1493" ht="14.25" customHeight="1"/>
    <row r="1494" ht="14.25" customHeight="1"/>
    <row r="1495" ht="14.25" customHeight="1"/>
    <row r="1496" ht="14.25" customHeight="1"/>
    <row r="1497" ht="14.25" customHeight="1"/>
    <row r="1498" ht="14.25" customHeight="1"/>
    <row r="1499" ht="14.25" customHeight="1"/>
    <row r="1500" ht="14.25" customHeight="1"/>
    <row r="1501" ht="14.25" customHeight="1"/>
    <row r="1502" ht="14.25" customHeight="1"/>
    <row r="1503" ht="14.25" customHeight="1"/>
    <row r="1504" ht="14.25" customHeight="1"/>
    <row r="1505" ht="14.25" customHeight="1"/>
    <row r="1506" ht="14.25" customHeight="1"/>
    <row r="1507" ht="14.25" customHeight="1"/>
    <row r="1508" ht="14.25" customHeight="1"/>
    <row r="1509" ht="14.25" customHeight="1"/>
    <row r="1510" ht="14.25" customHeight="1"/>
    <row r="1511" ht="14.25" customHeight="1"/>
    <row r="1512" ht="14.25" customHeight="1"/>
    <row r="1513" ht="14.25" customHeight="1"/>
    <row r="1514" ht="14.25" customHeight="1"/>
    <row r="1515" ht="14.25" customHeight="1"/>
    <row r="1516" ht="14.25" customHeight="1"/>
    <row r="1517" ht="14.25" customHeight="1"/>
    <row r="1518" ht="14.25" customHeight="1"/>
    <row r="1519" ht="14.25" customHeight="1"/>
    <row r="1520" ht="14.25" customHeight="1"/>
    <row r="1521" ht="14.25" customHeight="1"/>
    <row r="1522" ht="14.25" customHeight="1"/>
    <row r="1523" ht="14.25" customHeight="1"/>
    <row r="1524" ht="14.25" customHeight="1"/>
    <row r="1525" ht="14.25" customHeight="1"/>
    <row r="1526" ht="14.25" customHeight="1"/>
    <row r="1527" ht="14.25" customHeight="1"/>
    <row r="1528" ht="14.25" customHeight="1"/>
    <row r="1529" ht="14.25" customHeight="1"/>
    <row r="1530" ht="14.25" customHeight="1"/>
    <row r="1531" ht="14.25" customHeight="1"/>
    <row r="1532" ht="14.25" customHeight="1"/>
    <row r="1533" ht="14.25" customHeight="1"/>
    <row r="1534" ht="14.25" customHeight="1"/>
    <row r="1535" ht="14.25" customHeight="1"/>
    <row r="1536" ht="14.25" customHeight="1"/>
    <row r="1537" ht="14.25" customHeight="1"/>
    <row r="1538" ht="14.25" customHeight="1"/>
    <row r="1539" ht="14.25" customHeight="1"/>
    <row r="1540" ht="14.25" customHeight="1"/>
    <row r="1541" ht="14.25" customHeight="1"/>
    <row r="1542" ht="14.25" customHeight="1"/>
    <row r="1543" ht="14.25" customHeight="1"/>
    <row r="1544" ht="14.25" customHeight="1"/>
    <row r="1545" ht="14.25" customHeight="1"/>
    <row r="1546" ht="14.25" customHeight="1"/>
    <row r="1547" ht="14.25" customHeight="1"/>
    <row r="1548" ht="14.25" customHeight="1"/>
    <row r="1549" ht="14.25" customHeight="1"/>
    <row r="1550" ht="14.25" customHeight="1"/>
    <row r="1551" ht="14.25" customHeight="1"/>
    <row r="1552" ht="14.25" customHeight="1"/>
    <row r="1553" ht="14.25" customHeight="1"/>
    <row r="1554" ht="14.25" customHeight="1"/>
    <row r="1555" ht="14.25" customHeight="1"/>
    <row r="1556" ht="14.25" customHeight="1"/>
    <row r="1557" ht="14.25" customHeight="1"/>
    <row r="1558" ht="14.25" customHeight="1"/>
    <row r="1559" ht="14.25" customHeight="1"/>
    <row r="1560" ht="14.25" customHeight="1"/>
    <row r="1561" ht="14.25" customHeight="1"/>
    <row r="1562" ht="14.25" customHeight="1"/>
    <row r="1563" ht="14.25" customHeight="1"/>
    <row r="1564" ht="14.25" customHeight="1"/>
    <row r="1565" ht="14.25" customHeight="1"/>
    <row r="1566" ht="14.25" customHeight="1"/>
    <row r="1567" ht="14.25" customHeight="1"/>
    <row r="1568" ht="14.25" customHeight="1"/>
    <row r="1569" ht="14.25" customHeight="1"/>
    <row r="1570" ht="14.25" customHeight="1"/>
    <row r="1571" ht="14.25" customHeight="1"/>
    <row r="1572" ht="14.25" customHeight="1"/>
    <row r="1573" ht="14.25" customHeight="1"/>
    <row r="1574" ht="14.25" customHeight="1"/>
    <row r="1575" ht="14.25" customHeight="1"/>
    <row r="1576" ht="14.25" customHeight="1"/>
    <row r="1577" ht="14.25" customHeight="1"/>
    <row r="1578" ht="14.25" customHeight="1"/>
    <row r="1579" ht="14.25" customHeight="1"/>
    <row r="1580" ht="14.25" customHeight="1"/>
    <row r="1581" ht="14.25" customHeight="1"/>
    <row r="1582" ht="14.25" customHeight="1"/>
    <row r="1583" ht="14.25" customHeight="1"/>
    <row r="1584" ht="14.25" customHeight="1"/>
    <row r="1585" ht="14.25" customHeight="1"/>
    <row r="1586" ht="14.25" customHeight="1"/>
    <row r="1587" ht="14.25" customHeight="1"/>
    <row r="1588" ht="14.25" customHeight="1"/>
    <row r="1589" ht="14.25" customHeight="1"/>
    <row r="1590" ht="14.25" customHeight="1"/>
    <row r="1591" ht="14.25" customHeight="1"/>
    <row r="1592" ht="14.25" customHeight="1"/>
    <row r="1593" ht="14.25" customHeight="1"/>
    <row r="1594" ht="14.25" customHeight="1"/>
    <row r="1595" ht="14.25" customHeight="1"/>
    <row r="1596" ht="14.25" customHeight="1"/>
    <row r="1597" ht="14.25" customHeight="1"/>
    <row r="1598" ht="14.25" customHeight="1"/>
    <row r="1599" ht="14.25" customHeight="1"/>
    <row r="1600" ht="14.25" customHeight="1"/>
    <row r="1601" ht="14.25" customHeight="1"/>
    <row r="1602" ht="14.25" customHeight="1"/>
    <row r="1603" ht="14.25" customHeight="1"/>
    <row r="1604" ht="14.25" customHeight="1"/>
    <row r="1605" ht="14.25" customHeight="1"/>
    <row r="1606" ht="14.25" customHeight="1"/>
    <row r="1607" ht="14.25" customHeight="1"/>
    <row r="1608" ht="14.25" customHeight="1"/>
    <row r="1609" ht="14.25" customHeight="1"/>
    <row r="1610" ht="14.25" customHeight="1"/>
    <row r="1611" ht="14.25" customHeight="1"/>
    <row r="1612" ht="14.25" customHeight="1"/>
    <row r="1613" ht="14.25" customHeight="1"/>
    <row r="1614" ht="14.25" customHeight="1"/>
    <row r="1615" ht="14.25" customHeight="1"/>
    <row r="1616" ht="14.25" customHeight="1"/>
    <row r="1617" ht="14.25" customHeight="1"/>
    <row r="1618" ht="14.25" customHeight="1"/>
    <row r="1619" ht="14.25" customHeight="1"/>
    <row r="1620" ht="14.25" customHeight="1"/>
    <row r="1621" ht="14.25" customHeight="1"/>
    <row r="1622" ht="14.25" customHeight="1"/>
    <row r="1623" ht="14.25" customHeight="1"/>
    <row r="1624" ht="14.25" customHeight="1"/>
    <row r="1625" ht="14.25" customHeight="1"/>
    <row r="1626" ht="14.25" customHeight="1"/>
    <row r="1627" ht="14.25" customHeight="1"/>
    <row r="1628" ht="14.25" customHeight="1"/>
    <row r="1629" ht="14.25" customHeight="1"/>
    <row r="1630" ht="14.25" customHeight="1"/>
    <row r="1631" ht="14.25" customHeight="1"/>
    <row r="1632" ht="14.25" customHeight="1"/>
    <row r="1633" ht="14.25" customHeight="1"/>
    <row r="1634" ht="14.25" customHeight="1"/>
    <row r="1635" ht="14.25" customHeight="1"/>
    <row r="1636" ht="14.25" customHeight="1"/>
    <row r="1637" ht="14.25" customHeight="1"/>
    <row r="1638" ht="14.25" customHeight="1"/>
    <row r="1639" ht="14.25" customHeight="1"/>
    <row r="1640" ht="14.25" customHeight="1"/>
    <row r="1641" ht="14.25" customHeight="1"/>
    <row r="1642" ht="14.25" customHeight="1"/>
    <row r="1643" ht="14.25" customHeight="1"/>
    <row r="1644" ht="14.25" customHeight="1"/>
    <row r="1645" ht="14.25" customHeight="1"/>
    <row r="1646" ht="14.25" customHeight="1"/>
    <row r="1647" ht="14.25" customHeight="1"/>
    <row r="1648" ht="14.25" customHeight="1"/>
    <row r="1649" ht="14.25" customHeight="1"/>
    <row r="1650" ht="14.25" customHeight="1"/>
    <row r="1651" ht="14.25" customHeight="1"/>
    <row r="1652" ht="14.25" customHeight="1"/>
    <row r="1653" ht="14.25" customHeight="1"/>
    <row r="1654" ht="14.25" customHeight="1"/>
    <row r="1655" ht="14.25" customHeight="1"/>
    <row r="1656" ht="14.25" customHeight="1"/>
    <row r="1657" ht="14.25" customHeight="1"/>
    <row r="1658" ht="14.25" customHeight="1"/>
    <row r="1659" ht="14.25" customHeight="1"/>
    <row r="1660" ht="14.25" customHeight="1"/>
    <row r="1661" ht="14.25" customHeight="1"/>
    <row r="1662" ht="14.25" customHeight="1"/>
    <row r="1663" ht="14.25" customHeight="1"/>
    <row r="1664" ht="14.25" customHeight="1"/>
    <row r="1665" ht="14.25" customHeight="1"/>
    <row r="1666" ht="14.25" customHeight="1"/>
    <row r="1667" ht="14.25" customHeight="1"/>
    <row r="1668" ht="14.25" customHeight="1"/>
    <row r="1669" ht="14.25" customHeight="1"/>
    <row r="1670" ht="14.25" customHeight="1"/>
    <row r="1671" ht="14.25" customHeight="1"/>
    <row r="1672" ht="14.25" customHeight="1"/>
    <row r="1673" ht="14.25" customHeight="1"/>
    <row r="1674" ht="14.25" customHeight="1"/>
    <row r="1675" ht="14.25" customHeight="1"/>
    <row r="1676" ht="14.25" customHeight="1"/>
    <row r="1677" ht="14.25" customHeight="1"/>
    <row r="1678" ht="14.25" customHeight="1"/>
    <row r="1679" ht="14.25" customHeight="1"/>
    <row r="1680" ht="14.25" customHeight="1"/>
    <row r="1681" ht="14.25" customHeight="1"/>
    <row r="1682" ht="14.25" customHeight="1"/>
    <row r="1683" ht="14.25" customHeight="1"/>
    <row r="1684" ht="14.25" customHeight="1"/>
    <row r="1685" ht="14.25" customHeight="1"/>
    <row r="1686" ht="14.25" customHeight="1"/>
    <row r="1687" ht="14.25" customHeight="1"/>
    <row r="1688" ht="14.25" customHeight="1"/>
    <row r="1689" ht="14.25" customHeight="1"/>
    <row r="1690" ht="14.25" customHeight="1"/>
    <row r="1691" ht="14.25" customHeight="1"/>
    <row r="1692" ht="14.25" customHeight="1"/>
    <row r="1693" ht="14.25" customHeight="1"/>
    <row r="1694" ht="14.25" customHeight="1"/>
    <row r="1695" ht="14.25" customHeight="1"/>
    <row r="1696" ht="14.25" customHeight="1"/>
    <row r="1697" ht="14.25" customHeight="1"/>
    <row r="1698" ht="14.25" customHeight="1"/>
    <row r="1699" ht="14.25" customHeight="1"/>
    <row r="1700" ht="14.25" customHeight="1"/>
    <row r="1701" ht="14.25" customHeight="1"/>
    <row r="1702" ht="14.25" customHeight="1"/>
    <row r="1703" ht="14.25" customHeight="1"/>
    <row r="1704" ht="14.25" customHeight="1"/>
    <row r="1705" ht="14.25" customHeight="1"/>
    <row r="1706" ht="14.25" customHeight="1"/>
    <row r="1707" ht="14.25" customHeight="1"/>
    <row r="1708" ht="14.25" customHeight="1"/>
    <row r="1709" ht="14.25" customHeight="1"/>
    <row r="1710" ht="14.25" customHeight="1"/>
    <row r="1711" ht="14.25" customHeight="1"/>
    <row r="1712" ht="14.25" customHeight="1"/>
    <row r="1713" ht="14.25" customHeight="1"/>
    <row r="1714" ht="14.25" customHeight="1"/>
    <row r="1715" ht="14.25" customHeight="1"/>
    <row r="1716" ht="14.25" customHeight="1"/>
    <row r="1717" ht="14.25" customHeight="1"/>
    <row r="1718" ht="14.25" customHeight="1"/>
    <row r="1719" ht="14.25" customHeight="1"/>
    <row r="1720" ht="14.25" customHeight="1"/>
    <row r="1721" ht="14.25" customHeight="1"/>
    <row r="1722" ht="14.25" customHeight="1"/>
    <row r="1723" ht="14.25" customHeight="1"/>
    <row r="1724" ht="14.25" customHeight="1"/>
    <row r="1725" ht="14.25" customHeight="1"/>
    <row r="1726" ht="14.25" customHeight="1"/>
    <row r="1727" ht="14.25" customHeight="1"/>
    <row r="1728" ht="14.25" customHeight="1"/>
    <row r="1729" ht="14.25" customHeight="1"/>
    <row r="1730" ht="14.25" customHeight="1"/>
    <row r="1731" ht="14.25" customHeight="1"/>
    <row r="1732" ht="14.25" customHeight="1"/>
    <row r="1733" ht="14.25" customHeight="1"/>
    <row r="1734" ht="14.25" customHeight="1"/>
    <row r="1735" ht="14.25" customHeight="1"/>
    <row r="1736" ht="14.25" customHeight="1"/>
    <row r="1737" ht="14.25" customHeight="1"/>
    <row r="1738" ht="14.25" customHeight="1"/>
    <row r="1739" ht="14.25" customHeight="1"/>
    <row r="1740" ht="14.25" customHeight="1"/>
    <row r="1741" ht="14.25" customHeight="1"/>
    <row r="1742" ht="14.25" customHeight="1"/>
    <row r="1743" ht="14.25" customHeight="1"/>
    <row r="1744" ht="14.25" customHeight="1"/>
    <row r="1745" ht="14.25" customHeight="1"/>
    <row r="1746" ht="14.25" customHeight="1"/>
    <row r="1747" ht="14.25" customHeight="1"/>
    <row r="1748" ht="14.25" customHeight="1"/>
    <row r="1749" ht="14.25" customHeight="1"/>
    <row r="1750" ht="14.25" customHeight="1"/>
    <row r="1751" ht="14.25" customHeight="1"/>
    <row r="1752" ht="14.25" customHeight="1"/>
    <row r="1753" ht="14.25" customHeight="1"/>
    <row r="1754" ht="14.25" customHeight="1"/>
    <row r="1755" ht="14.25" customHeight="1"/>
    <row r="1756" ht="14.25" customHeight="1"/>
    <row r="1757" ht="14.25" customHeight="1"/>
    <row r="1758" ht="14.25" customHeight="1"/>
    <row r="1759" ht="14.25" customHeight="1"/>
    <row r="1760" ht="14.25" customHeight="1"/>
    <row r="1761" ht="14.25" customHeight="1"/>
    <row r="1762" ht="14.25" customHeight="1"/>
    <row r="1763" ht="14.25" customHeight="1"/>
    <row r="1764" ht="14.25" customHeight="1"/>
    <row r="1765" ht="14.25" customHeight="1"/>
    <row r="1766" ht="14.25" customHeight="1"/>
    <row r="1767" ht="14.25" customHeight="1"/>
    <row r="1768" ht="14.25" customHeight="1"/>
    <row r="1769" ht="14.25" customHeight="1"/>
    <row r="1770" ht="14.25" customHeight="1"/>
    <row r="1771" ht="14.25" customHeight="1"/>
    <row r="1772" ht="14.25" customHeight="1"/>
    <row r="1773" ht="14.25" customHeight="1"/>
    <row r="1774" ht="14.25" customHeight="1"/>
    <row r="1775" ht="14.25" customHeight="1"/>
    <row r="1776" ht="14.25" customHeight="1"/>
    <row r="1777" ht="14.25" customHeight="1"/>
    <row r="1778" ht="14.25" customHeight="1"/>
    <row r="1779" ht="14.25" customHeight="1"/>
    <row r="1780" ht="14.25" customHeight="1"/>
    <row r="1781" ht="14.25" customHeight="1"/>
    <row r="1782" ht="14.25" customHeight="1"/>
    <row r="1783" ht="14.25" customHeight="1"/>
    <row r="1784" ht="14.25" customHeight="1"/>
    <row r="1785" ht="14.25" customHeight="1"/>
    <row r="1786" ht="14.25" customHeight="1"/>
    <row r="1787" ht="14.25" customHeight="1"/>
    <row r="1788" ht="14.25" customHeight="1"/>
    <row r="1789" ht="14.25" customHeight="1"/>
    <row r="1790" ht="14.25" customHeight="1"/>
    <row r="1791" ht="14.25" customHeight="1"/>
    <row r="1792" ht="14.25" customHeight="1"/>
    <row r="1793" ht="14.25" customHeight="1"/>
    <row r="1794" ht="14.25" customHeight="1"/>
    <row r="1795" ht="14.25" customHeight="1"/>
    <row r="1796" ht="14.25" customHeight="1"/>
    <row r="1797" ht="14.25" customHeight="1"/>
    <row r="1798" ht="14.25" customHeight="1"/>
    <row r="1799" ht="14.25" customHeight="1"/>
    <row r="1800" ht="14.25" customHeight="1"/>
    <row r="1801" ht="14.25" customHeight="1"/>
    <row r="1802" ht="14.25" customHeight="1"/>
    <row r="1803" ht="14.25" customHeight="1"/>
    <row r="1804" ht="14.25" customHeight="1"/>
    <row r="1805" ht="14.25" customHeight="1"/>
    <row r="1806" ht="14.25" customHeight="1"/>
    <row r="1807" ht="14.25" customHeight="1"/>
    <row r="1808" ht="14.25" customHeight="1"/>
    <row r="1809" ht="14.25" customHeight="1"/>
    <row r="1810" ht="14.25" customHeight="1"/>
    <row r="1811" ht="14.25" customHeight="1"/>
    <row r="1812" ht="14.25" customHeight="1"/>
    <row r="1813" ht="14.25" customHeight="1"/>
    <row r="1814" ht="14.25" customHeight="1"/>
    <row r="1815" ht="14.25" customHeight="1"/>
    <row r="1816" ht="14.25" customHeight="1"/>
    <row r="1817" ht="14.25" customHeight="1"/>
    <row r="1818" ht="14.25" customHeight="1"/>
    <row r="1819" ht="14.25" customHeight="1"/>
    <row r="1820" ht="14.25" customHeight="1"/>
    <row r="1821" ht="14.25" customHeight="1"/>
    <row r="1822" ht="14.25" customHeight="1"/>
    <row r="1823" ht="14.25" customHeight="1"/>
    <row r="1824" ht="14.25" customHeight="1"/>
    <row r="1825" ht="14.25" customHeight="1"/>
    <row r="1826" ht="14.25" customHeight="1"/>
    <row r="1827" ht="14.25" customHeight="1"/>
    <row r="1828" ht="14.25" customHeight="1"/>
    <row r="1829" ht="14.25" customHeight="1"/>
    <row r="1830" ht="14.25" customHeight="1"/>
    <row r="1831" ht="14.25" customHeight="1"/>
    <row r="1832" ht="14.25" customHeight="1"/>
    <row r="1833" ht="14.25" customHeight="1"/>
    <row r="1834" ht="14.25" customHeight="1"/>
    <row r="1835" ht="14.25" customHeight="1"/>
    <row r="1836" ht="14.25" customHeight="1"/>
    <row r="1837" ht="14.25" customHeight="1"/>
    <row r="1838" ht="14.25" customHeight="1"/>
    <row r="1839" ht="14.25" customHeight="1"/>
    <row r="1840" ht="14.25" customHeight="1"/>
    <row r="1841" ht="14.25" customHeight="1"/>
    <row r="1842" ht="14.25" customHeight="1"/>
    <row r="1843" ht="14.25" customHeight="1"/>
    <row r="1844" ht="14.25" customHeight="1"/>
    <row r="1845" ht="14.25" customHeight="1"/>
    <row r="1846" ht="14.25" customHeight="1"/>
    <row r="1847" ht="14.25" customHeight="1"/>
    <row r="1848" ht="14.25" customHeight="1"/>
    <row r="1849" ht="14.25" customHeight="1"/>
    <row r="1850" ht="14.25" customHeight="1"/>
    <row r="1851" ht="14.25" customHeight="1"/>
    <row r="1852" ht="14.25" customHeight="1"/>
    <row r="1853" ht="14.25" customHeight="1"/>
    <row r="1854" ht="14.25" customHeight="1"/>
    <row r="1855" ht="14.25" customHeight="1"/>
    <row r="1856" ht="14.25" customHeight="1"/>
    <row r="1857" ht="14.25" customHeight="1"/>
    <row r="1858" ht="14.25" customHeight="1"/>
    <row r="1859" ht="14.25" customHeight="1"/>
    <row r="1860" ht="14.25" customHeight="1"/>
    <row r="1861" ht="14.25" customHeight="1"/>
    <row r="1862" ht="14.25" customHeight="1"/>
    <row r="1863" ht="14.25" customHeight="1"/>
    <row r="1864" ht="14.25" customHeight="1"/>
    <row r="1865" ht="14.25" customHeight="1"/>
    <row r="1866" ht="14.25" customHeight="1"/>
    <row r="1867" ht="14.25" customHeight="1"/>
    <row r="1868" ht="14.25" customHeight="1"/>
    <row r="1869" ht="14.25" customHeight="1"/>
    <row r="1870" ht="14.25" customHeight="1"/>
    <row r="1871" ht="14.25" customHeight="1"/>
    <row r="1872" ht="14.25" customHeight="1"/>
    <row r="1873" ht="14.25" customHeight="1"/>
    <row r="1874" ht="14.25" customHeight="1"/>
    <row r="1875" ht="14.25" customHeight="1"/>
    <row r="1876" ht="14.25" customHeight="1"/>
    <row r="1877" ht="14.25" customHeight="1"/>
    <row r="1878" ht="14.25" customHeight="1"/>
    <row r="1879" ht="14.25" customHeight="1"/>
    <row r="1880" ht="14.25" customHeight="1"/>
    <row r="1881" ht="14.25" customHeight="1"/>
    <row r="1882" ht="14.25" customHeight="1"/>
    <row r="1883" ht="14.25" customHeight="1"/>
    <row r="1884" ht="14.25" customHeight="1"/>
    <row r="1885" ht="14.25" customHeight="1"/>
    <row r="1886" ht="14.25" customHeight="1"/>
    <row r="1887" ht="14.25" customHeight="1"/>
    <row r="1888" ht="14.25" customHeight="1"/>
    <row r="1889" ht="14.25" customHeight="1"/>
    <row r="1890" ht="14.25" customHeight="1"/>
    <row r="1891" ht="14.25" customHeight="1"/>
    <row r="1892" ht="14.25" customHeight="1"/>
    <row r="1893" ht="14.25" customHeight="1"/>
    <row r="1894" ht="14.25" customHeight="1"/>
    <row r="1895" ht="14.25" customHeight="1"/>
    <row r="1896" ht="14.25" customHeight="1"/>
    <row r="1897" ht="14.25" customHeight="1"/>
    <row r="1898" ht="14.25" customHeight="1"/>
    <row r="1899" ht="14.25" customHeight="1"/>
    <row r="1900" ht="14.25" customHeight="1"/>
    <row r="1901" ht="14.25" customHeight="1"/>
    <row r="1902" ht="14.25" customHeight="1"/>
    <row r="1903" ht="14.25" customHeight="1"/>
    <row r="1904" ht="14.25" customHeight="1"/>
    <row r="1905" ht="14.25" customHeight="1"/>
    <row r="1906" ht="14.25" customHeight="1"/>
    <row r="1907" ht="14.25" customHeight="1"/>
    <row r="1908" ht="14.25" customHeight="1"/>
    <row r="1909" ht="14.25" customHeight="1"/>
    <row r="1910" ht="14.25" customHeight="1"/>
    <row r="1911" ht="14.25" customHeight="1"/>
    <row r="1912" ht="14.25" customHeight="1"/>
    <row r="1913" ht="14.25" customHeight="1"/>
    <row r="1914" ht="14.25" customHeight="1"/>
    <row r="1915" ht="14.25" customHeight="1"/>
    <row r="1916" ht="14.25" customHeight="1"/>
    <row r="1917" ht="14.25" customHeight="1"/>
    <row r="1918" ht="14.25" customHeight="1"/>
    <row r="1919" ht="14.25" customHeight="1"/>
    <row r="1920" ht="14.25" customHeight="1"/>
    <row r="1921" ht="14.25" customHeight="1"/>
    <row r="1922" ht="14.25" customHeight="1"/>
    <row r="1923" ht="14.25" customHeight="1"/>
    <row r="1924" ht="14.25" customHeight="1"/>
    <row r="1925" ht="14.25" customHeight="1"/>
    <row r="1926" ht="14.25" customHeight="1"/>
    <row r="1927" ht="14.25" customHeight="1"/>
    <row r="1928" ht="14.25" customHeight="1"/>
    <row r="1929" ht="14.25" customHeight="1"/>
    <row r="1930" ht="14.25" customHeight="1"/>
    <row r="1931" ht="14.25" customHeight="1"/>
    <row r="1932" ht="14.25" customHeight="1"/>
    <row r="1933" ht="14.25" customHeight="1"/>
    <row r="1934" ht="14.25" customHeight="1"/>
    <row r="1935" ht="14.25" customHeight="1"/>
    <row r="1936" ht="14.25" customHeight="1"/>
    <row r="1937" ht="14.25" customHeight="1"/>
    <row r="1938" ht="14.25" customHeight="1"/>
    <row r="1939" ht="14.25" customHeight="1"/>
    <row r="1940" ht="14.25" customHeight="1"/>
    <row r="1941" ht="14.25" customHeight="1"/>
    <row r="1942" ht="14.25" customHeight="1"/>
    <row r="1943" ht="14.25" customHeight="1"/>
    <row r="1944" ht="14.25" customHeight="1"/>
    <row r="1945" ht="14.25" customHeight="1"/>
    <row r="1946" ht="14.25" customHeight="1"/>
    <row r="1947" ht="14.25" customHeight="1"/>
    <row r="1948" ht="14.25" customHeight="1"/>
    <row r="1949" ht="14.25" customHeight="1"/>
    <row r="1950" ht="14.25" customHeight="1"/>
    <row r="1951" ht="14.25" customHeight="1"/>
    <row r="1952" ht="14.25" customHeight="1"/>
    <row r="1953" ht="14.25" customHeight="1"/>
    <row r="1954" ht="14.25" customHeight="1"/>
    <row r="1955" ht="14.25" customHeight="1"/>
    <row r="1956" ht="14.25" customHeight="1"/>
    <row r="1957" ht="14.25" customHeight="1"/>
    <row r="1958" ht="14.25" customHeight="1"/>
    <row r="1959" ht="14.25" customHeight="1"/>
    <row r="1960" ht="14.25" customHeight="1"/>
    <row r="1961" ht="14.25" customHeight="1"/>
    <row r="1962" ht="14.25" customHeight="1"/>
    <row r="1963" ht="14.25" customHeight="1"/>
    <row r="1964" ht="14.25" customHeight="1"/>
    <row r="1965" ht="14.25" customHeight="1"/>
    <row r="1966" ht="14.25" customHeight="1"/>
    <row r="1967" ht="14.25" customHeight="1"/>
    <row r="1968" ht="14.25" customHeight="1"/>
    <row r="1969" ht="14.25" customHeight="1"/>
    <row r="1970" ht="14.25" customHeight="1"/>
    <row r="1971" ht="14.25" customHeight="1"/>
    <row r="1972" ht="14.25" customHeight="1"/>
    <row r="1973" ht="14.25" customHeight="1"/>
    <row r="1974" ht="14.25" customHeight="1"/>
    <row r="1975" ht="14.25" customHeight="1"/>
    <row r="1976" ht="14.25" customHeight="1"/>
    <row r="1977" ht="14.25" customHeight="1"/>
    <row r="1978" ht="14.25" customHeight="1"/>
    <row r="1979" ht="14.25" customHeight="1"/>
    <row r="1980" ht="14.25" customHeight="1"/>
    <row r="1981" ht="14.25" customHeight="1"/>
    <row r="1982" ht="14.25" customHeight="1"/>
    <row r="1983" ht="14.25" customHeight="1"/>
    <row r="1984" ht="14.25" customHeight="1"/>
    <row r="1985" ht="14.25" customHeight="1"/>
    <row r="1986" ht="14.25" customHeight="1"/>
    <row r="1987" ht="14.25" customHeight="1"/>
    <row r="1988" ht="14.25" customHeight="1"/>
    <row r="1989" ht="14.25" customHeight="1"/>
    <row r="1990" ht="14.25" customHeight="1"/>
    <row r="1991" ht="14.25" customHeight="1"/>
    <row r="1992" ht="14.25" customHeight="1"/>
    <row r="1993" ht="14.25" customHeight="1"/>
    <row r="1994" ht="14.25" customHeight="1"/>
    <row r="1995" ht="14.25" customHeight="1"/>
    <row r="1996" ht="14.25" customHeight="1"/>
    <row r="1997" ht="14.25" customHeight="1"/>
    <row r="1998" ht="14.25" customHeight="1"/>
    <row r="1999" ht="14.25" customHeight="1"/>
    <row r="2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2">
      <c r="A2" s="1" t="s">
        <v>257</v>
      </c>
    </row>
    <row r="3">
      <c r="A3" s="1" t="s">
        <v>258</v>
      </c>
      <c r="C3" s="1">
        <v>115.0</v>
      </c>
    </row>
    <row r="4">
      <c r="A4" s="1" t="s">
        <v>259</v>
      </c>
      <c r="C4" s="1">
        <v>93.0</v>
      </c>
    </row>
    <row r="5">
      <c r="A5" s="1" t="s">
        <v>260</v>
      </c>
      <c r="C5" s="1">
        <v>56.0</v>
      </c>
    </row>
    <row r="6">
      <c r="A6" s="1" t="s">
        <v>261</v>
      </c>
      <c r="C6" s="1">
        <v>48.0</v>
      </c>
    </row>
    <row r="7">
      <c r="A7" s="1" t="s">
        <v>262</v>
      </c>
      <c r="C7" s="1">
        <v>40.0</v>
      </c>
    </row>
    <row r="8">
      <c r="A8" s="1" t="s">
        <v>263</v>
      </c>
      <c r="C8" s="1">
        <v>36.0</v>
      </c>
    </row>
    <row r="9">
      <c r="A9" s="1" t="s">
        <v>264</v>
      </c>
      <c r="C9" s="1">
        <v>28.0</v>
      </c>
    </row>
    <row r="10">
      <c r="A10" s="1" t="s">
        <v>265</v>
      </c>
      <c r="C10" s="1">
        <v>23.0</v>
      </c>
    </row>
    <row r="14">
      <c r="A14" s="1" t="s">
        <v>266</v>
      </c>
    </row>
    <row r="15">
      <c r="A15" s="4" t="s">
        <v>267</v>
      </c>
      <c r="C15" s="5">
        <v>128.0</v>
      </c>
    </row>
    <row r="16">
      <c r="A16" s="4" t="s">
        <v>268</v>
      </c>
      <c r="C16" s="6">
        <v>27.0</v>
      </c>
    </row>
    <row r="17">
      <c r="A17" s="4" t="s">
        <v>269</v>
      </c>
      <c r="C17" s="5">
        <v>16.0</v>
      </c>
    </row>
    <row r="18">
      <c r="A18" s="4" t="s">
        <v>270</v>
      </c>
      <c r="C18" s="6">
        <v>14.0</v>
      </c>
    </row>
    <row r="27">
      <c r="A27" s="1" t="s">
        <v>271</v>
      </c>
    </row>
    <row r="28">
      <c r="A28" s="1" t="s">
        <v>272</v>
      </c>
      <c r="C28" s="1">
        <v>112.0</v>
      </c>
    </row>
    <row r="29">
      <c r="A29" s="1" t="s">
        <v>273</v>
      </c>
      <c r="C29" s="1">
        <v>85.0</v>
      </c>
    </row>
    <row r="30">
      <c r="A30" s="1" t="s">
        <v>274</v>
      </c>
      <c r="C30" s="1">
        <v>15.0</v>
      </c>
    </row>
    <row r="37">
      <c r="A37" s="1" t="s">
        <v>275</v>
      </c>
    </row>
    <row r="38">
      <c r="A38" s="1" t="s">
        <v>276</v>
      </c>
      <c r="B38" s="1">
        <v>8.0</v>
      </c>
    </row>
    <row r="39">
      <c r="A39" s="1" t="s">
        <v>277</v>
      </c>
      <c r="B39" s="1">
        <v>85.0</v>
      </c>
    </row>
    <row r="40">
      <c r="A40" s="1" t="s">
        <v>278</v>
      </c>
      <c r="B40" s="1">
        <v>36.0</v>
      </c>
      <c r="C40" s="1"/>
    </row>
    <row r="41">
      <c r="A41" s="1" t="s">
        <v>279</v>
      </c>
      <c r="B41" s="1">
        <v>8.0</v>
      </c>
    </row>
    <row r="45">
      <c r="A45" s="1" t="s">
        <v>280</v>
      </c>
    </row>
    <row r="46">
      <c r="A46" s="1" t="s">
        <v>281</v>
      </c>
      <c r="B46" s="1">
        <v>3.0</v>
      </c>
    </row>
    <row r="47">
      <c r="A47" s="1" t="s">
        <v>282</v>
      </c>
      <c r="B47" s="1">
        <v>47.0</v>
      </c>
    </row>
    <row r="48">
      <c r="A48" s="1" t="s">
        <v>283</v>
      </c>
      <c r="B48" s="1">
        <v>70.0</v>
      </c>
    </row>
    <row r="49">
      <c r="A49" s="1" t="s">
        <v>125</v>
      </c>
      <c r="B49" s="1">
        <v>16.0</v>
      </c>
    </row>
    <row r="50">
      <c r="A50" s="1" t="s">
        <v>284</v>
      </c>
      <c r="B50" s="1">
        <v>2.0</v>
      </c>
    </row>
    <row r="55">
      <c r="A55" s="1" t="s">
        <v>285</v>
      </c>
    </row>
    <row r="56">
      <c r="A56" s="1" t="s">
        <v>286</v>
      </c>
      <c r="B56" s="1">
        <v>87.0</v>
      </c>
    </row>
    <row r="57">
      <c r="A57" s="1" t="s">
        <v>287</v>
      </c>
      <c r="B57" s="1">
        <v>38.0</v>
      </c>
    </row>
    <row r="58">
      <c r="A58" s="1" t="s">
        <v>288</v>
      </c>
      <c r="B58" s="1">
        <v>37.0</v>
      </c>
    </row>
    <row r="59">
      <c r="A59" s="1" t="s">
        <v>289</v>
      </c>
      <c r="B59" s="1">
        <v>27.0</v>
      </c>
    </row>
    <row r="60">
      <c r="A60" s="1" t="s">
        <v>290</v>
      </c>
      <c r="B60" s="1">
        <v>23.0</v>
      </c>
    </row>
    <row r="61">
      <c r="A61" s="1" t="s">
        <v>291</v>
      </c>
      <c r="B61" s="1">
        <v>16.0</v>
      </c>
    </row>
    <row r="62">
      <c r="A62" s="1" t="s">
        <v>292</v>
      </c>
      <c r="B62" s="1">
        <v>8.0</v>
      </c>
    </row>
    <row r="67">
      <c r="A67" s="1" t="s">
        <v>293</v>
      </c>
    </row>
    <row r="68">
      <c r="A68" s="1" t="s">
        <v>294</v>
      </c>
      <c r="B68" s="1">
        <v>51.0</v>
      </c>
    </row>
    <row r="69">
      <c r="A69" s="1" t="s">
        <v>295</v>
      </c>
      <c r="B69" s="1">
        <v>27.0</v>
      </c>
    </row>
    <row r="70">
      <c r="A70" s="1" t="s">
        <v>296</v>
      </c>
      <c r="B70" s="1">
        <v>26.0</v>
      </c>
    </row>
    <row r="71">
      <c r="A71" s="1" t="s">
        <v>297</v>
      </c>
      <c r="B71" s="1">
        <v>6.0</v>
      </c>
    </row>
    <row r="72">
      <c r="A72" s="1" t="s">
        <v>298</v>
      </c>
      <c r="B72" s="1">
        <v>65.0</v>
      </c>
    </row>
    <row r="76">
      <c r="A76" s="1" t="s">
        <v>299</v>
      </c>
    </row>
    <row r="77">
      <c r="A77" s="1" t="s">
        <v>300</v>
      </c>
      <c r="B77" s="1">
        <v>87.0</v>
      </c>
    </row>
    <row r="78">
      <c r="A78" s="1" t="s">
        <v>301</v>
      </c>
      <c r="B78" s="1">
        <v>58.0</v>
      </c>
    </row>
    <row r="79">
      <c r="A79" s="1" t="s">
        <v>302</v>
      </c>
      <c r="B79" s="1">
        <v>27.0</v>
      </c>
    </row>
    <row r="108">
      <c r="A108" s="1">
        <v>129.0</v>
      </c>
      <c r="B108" s="1" t="s">
        <v>303</v>
      </c>
    </row>
    <row r="109">
      <c r="A109" s="1">
        <v>83.0</v>
      </c>
      <c r="B109" s="1" t="s">
        <v>304</v>
      </c>
    </row>
    <row r="110">
      <c r="A110" s="1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sheetData>
    <row r="1">
      <c r="B1" s="1" t="s">
        <v>305</v>
      </c>
      <c r="C1" s="2" t="s">
        <v>13</v>
      </c>
      <c r="D1" s="2" t="s">
        <v>16</v>
      </c>
      <c r="E1" s="2" t="s">
        <v>11</v>
      </c>
      <c r="F1" s="2" t="s">
        <v>10</v>
      </c>
      <c r="G1" s="2" t="s">
        <v>12</v>
      </c>
      <c r="H1" s="2" t="s">
        <v>14</v>
      </c>
      <c r="I1" s="2" t="s">
        <v>15</v>
      </c>
      <c r="J1" s="1" t="s">
        <v>260</v>
      </c>
    </row>
    <row r="2">
      <c r="A2" s="1" t="s">
        <v>306</v>
      </c>
      <c r="B2" s="1">
        <v>62.0</v>
      </c>
      <c r="C2" s="1">
        <v>8.0</v>
      </c>
      <c r="D2" s="1">
        <v>5.0</v>
      </c>
      <c r="E2" s="1">
        <v>2.0</v>
      </c>
      <c r="F2" s="1">
        <v>2.0</v>
      </c>
      <c r="G2" s="1">
        <v>0.0</v>
      </c>
      <c r="H2" s="1">
        <v>1.0</v>
      </c>
      <c r="I2" s="1">
        <v>0.0</v>
      </c>
      <c r="J2" s="1">
        <v>2.0</v>
      </c>
    </row>
    <row r="3">
      <c r="A3" s="1" t="s">
        <v>307</v>
      </c>
      <c r="B3" s="1">
        <v>41.0</v>
      </c>
      <c r="C3" s="1">
        <v>9.0</v>
      </c>
      <c r="D3" s="1">
        <v>9.0</v>
      </c>
      <c r="E3" s="1">
        <v>7.0</v>
      </c>
      <c r="F3" s="1">
        <v>2.0</v>
      </c>
      <c r="G3" s="1">
        <v>6.0</v>
      </c>
      <c r="H3" s="1">
        <v>4.0</v>
      </c>
      <c r="I3" s="1">
        <v>1.0</v>
      </c>
      <c r="J3" s="1">
        <v>20.0</v>
      </c>
    </row>
    <row r="4">
      <c r="A4" s="1" t="s">
        <v>308</v>
      </c>
      <c r="B4" s="1">
        <v>25.0</v>
      </c>
      <c r="C4" s="1">
        <v>14.0</v>
      </c>
      <c r="D4" s="1">
        <v>34.0</v>
      </c>
      <c r="E4" s="1">
        <v>26.0</v>
      </c>
      <c r="F4" s="1">
        <v>10.0</v>
      </c>
      <c r="G4" s="1">
        <v>10.0</v>
      </c>
      <c r="H4" s="1">
        <v>6.0</v>
      </c>
      <c r="I4" s="1">
        <v>1.0</v>
      </c>
      <c r="J4" s="1">
        <v>57.0</v>
      </c>
    </row>
    <row r="5">
      <c r="A5" s="1" t="s">
        <v>309</v>
      </c>
      <c r="B5" s="1">
        <v>9.0</v>
      </c>
      <c r="C5" s="1">
        <v>58.0</v>
      </c>
      <c r="D5" s="1">
        <v>46.0</v>
      </c>
      <c r="E5" s="1">
        <v>47.0</v>
      </c>
      <c r="F5" s="1">
        <v>51.0</v>
      </c>
      <c r="G5" s="1">
        <v>40.0</v>
      </c>
      <c r="H5" s="1">
        <v>61.0</v>
      </c>
      <c r="I5" s="1">
        <v>51.0</v>
      </c>
      <c r="J5" s="1">
        <v>20.0</v>
      </c>
    </row>
    <row r="6">
      <c r="A6" s="1" t="s">
        <v>310</v>
      </c>
      <c r="B6" s="1">
        <v>0.0</v>
      </c>
      <c r="C6" s="1">
        <v>48.0</v>
      </c>
      <c r="D6" s="1">
        <v>43.0</v>
      </c>
      <c r="E6" s="1">
        <v>55.0</v>
      </c>
      <c r="F6" s="1">
        <v>72.0</v>
      </c>
      <c r="G6" s="1">
        <v>81.0</v>
      </c>
      <c r="H6" s="1">
        <v>64.0</v>
      </c>
      <c r="I6" s="1">
        <v>84.0</v>
      </c>
      <c r="J6" s="1">
        <v>38.0</v>
      </c>
    </row>
    <row r="8">
      <c r="B8" s="2">
        <f t="shared" ref="B8:J8" si="1">SUM(B2:B6)</f>
        <v>137</v>
      </c>
      <c r="C8" s="2">
        <f t="shared" si="1"/>
        <v>137</v>
      </c>
      <c r="D8" s="2">
        <f t="shared" si="1"/>
        <v>137</v>
      </c>
      <c r="E8" s="2">
        <f t="shared" si="1"/>
        <v>137</v>
      </c>
      <c r="F8" s="2">
        <f t="shared" si="1"/>
        <v>137</v>
      </c>
      <c r="G8" s="2">
        <f t="shared" si="1"/>
        <v>137</v>
      </c>
      <c r="H8" s="2">
        <f t="shared" si="1"/>
        <v>136</v>
      </c>
      <c r="I8" s="2">
        <f t="shared" si="1"/>
        <v>137</v>
      </c>
      <c r="J8" s="2">
        <f t="shared" si="1"/>
        <v>137</v>
      </c>
    </row>
    <row r="14">
      <c r="C14" s="1" t="s">
        <v>311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2025-01-17T12:14:52Z</dcterms:created>
  <dc:creator>Emilia Knauff</dc:creator>
</cp:coreProperties>
</file>